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1f0271d0b8797b/Desktop/Proyecto Ingenieria/INFORMES/"/>
    </mc:Choice>
  </mc:AlternateContent>
  <xr:revisionPtr revIDLastSave="603" documentId="8_{A2B61D2F-08BD-40F5-ACC5-C73775A42AA6}" xr6:coauthVersionLast="47" xr6:coauthVersionMax="47" xr10:uidLastSave="{B01CF647-A38A-4CCB-BEE8-E7219F639B33}"/>
  <bookViews>
    <workbookView xWindow="-110" yWindow="-110" windowWidth="19420" windowHeight="11500" activeTab="2" xr2:uid="{00000000-000D-0000-FFFF-FFFF00000000}"/>
  </bookViews>
  <sheets>
    <sheet name="Diagrama de Gantt" sheetId="14" r:id="rId1"/>
    <sheet name="Registro de horas" sheetId="15" r:id="rId2"/>
    <sheet name="Listado de Componentes" sheetId="16" r:id="rId3"/>
  </sheets>
  <definedNames>
    <definedName name="Display_Week" localSheetId="0">'Diagrama de Gantt'!$Q$2</definedName>
    <definedName name="Display_Week">#REF!</definedName>
    <definedName name="Project_Start" localSheetId="0">'Diagrama de Gantt'!$Q$1</definedName>
    <definedName name="Project_Start">#REF!</definedName>
    <definedName name="task_end" localSheetId="0">'Diagrama de Gantt'!$F1</definedName>
    <definedName name="task_progress" localSheetId="0">'Diagrama de Gantt'!$C1</definedName>
    <definedName name="task_start" localSheetId="0">'Diagrama de Gantt'!$D1</definedName>
    <definedName name="_xlnm.Print_Titles" localSheetId="0">'Diagrama de Gantt'!$4:$6</definedName>
    <definedName name="today" localSheetId="0">TODAY()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6" l="1"/>
  <c r="F29" i="14"/>
  <c r="F16" i="14"/>
  <c r="F23" i="14"/>
  <c r="F24" i="14"/>
  <c r="F22" i="14"/>
  <c r="H15" i="14"/>
  <c r="F14" i="14"/>
  <c r="F12" i="14"/>
  <c r="F13" i="14"/>
  <c r="F26" i="14"/>
  <c r="F27" i="14"/>
  <c r="F30" i="14"/>
  <c r="F31" i="14"/>
  <c r="F20" i="14"/>
  <c r="F19" i="14"/>
  <c r="F18" i="14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G5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3" i="16"/>
  <c r="H33" i="14"/>
  <c r="H32" i="14"/>
  <c r="H28" i="14"/>
  <c r="H11" i="14"/>
  <c r="H8" i="14"/>
  <c r="H7" i="14"/>
  <c r="G24" i="16" l="1"/>
  <c r="I5" i="14"/>
  <c r="J5" i="14" s="1"/>
  <c r="J6" i="14" s="1"/>
  <c r="I6" i="14" l="1"/>
  <c r="I4" i="14"/>
  <c r="K5" i="14"/>
  <c r="K6" i="14" s="1"/>
  <c r="F9" i="14"/>
  <c r="D10" i="14" s="1"/>
  <c r="F10" i="14" s="1"/>
  <c r="H9" i="14" l="1"/>
  <c r="L5" i="14"/>
  <c r="L6" i="14" s="1"/>
  <c r="H10" i="14"/>
  <c r="M5" i="14" l="1"/>
  <c r="M6" i="14" s="1"/>
  <c r="H13" i="14"/>
  <c r="H29" i="14"/>
  <c r="N5" i="14" l="1"/>
  <c r="N6" i="14" s="1"/>
  <c r="H12" i="14"/>
  <c r="H30" i="14"/>
  <c r="H31" i="14"/>
  <c r="O5" i="14" l="1"/>
  <c r="O6" i="14" s="1"/>
  <c r="P5" i="14" l="1"/>
  <c r="P6" i="14" s="1"/>
  <c r="Q5" i="14" l="1"/>
  <c r="Q6" i="14" s="1"/>
  <c r="P4" i="14"/>
  <c r="R5" i="14" l="1"/>
  <c r="R6" i="14" s="1"/>
  <c r="S5" i="14" l="1"/>
  <c r="S6" i="14" s="1"/>
  <c r="T5" i="14" l="1"/>
  <c r="U5" i="14" s="1"/>
  <c r="T6" i="14" l="1"/>
  <c r="V5" i="14"/>
  <c r="U6" i="14"/>
  <c r="W5" i="14" l="1"/>
  <c r="V6" i="14"/>
  <c r="X5" i="14" l="1"/>
  <c r="W4" i="14"/>
  <c r="W6" i="14"/>
  <c r="Y5" i="14" l="1"/>
  <c r="X6" i="14"/>
  <c r="Z5" i="14" l="1"/>
  <c r="Y6" i="14"/>
  <c r="AA5" i="14" l="1"/>
  <c r="Z6" i="14"/>
  <c r="AA6" i="14" l="1"/>
  <c r="AB5" i="14"/>
  <c r="AB6" i="14" l="1"/>
  <c r="AC5" i="14"/>
  <c r="AD5" i="14" l="1"/>
  <c r="AC6" i="14"/>
  <c r="AD6" i="14" l="1"/>
  <c r="AD4" i="14"/>
  <c r="AE5" i="14"/>
  <c r="AE6" i="14" l="1"/>
  <c r="AF5" i="14"/>
  <c r="AF6" i="14" l="1"/>
  <c r="AG5" i="14"/>
  <c r="AG6" i="14" l="1"/>
  <c r="AH5" i="14"/>
  <c r="AI5" i="14" l="1"/>
  <c r="AH6" i="14"/>
  <c r="AI6" i="14" l="1"/>
  <c r="AJ5" i="14"/>
  <c r="AJ6" i="14" l="1"/>
  <c r="AK5" i="14"/>
  <c r="AL5" i="14" l="1"/>
  <c r="AK6" i="14"/>
  <c r="AK4" i="14"/>
  <c r="AM5" i="14" l="1"/>
  <c r="AL6" i="14"/>
  <c r="AN5" i="14" l="1"/>
  <c r="AM6" i="14"/>
  <c r="AO5" i="14" l="1"/>
  <c r="AN6" i="14"/>
  <c r="AP5" i="14" l="1"/>
  <c r="AO6" i="14"/>
  <c r="AQ5" i="14" l="1"/>
  <c r="AP6" i="14"/>
  <c r="AR5" i="14" l="1"/>
  <c r="AQ6" i="14"/>
  <c r="AR4" i="14" l="1"/>
  <c r="AR6" i="14"/>
  <c r="AS5" i="14"/>
  <c r="AS6" i="14" l="1"/>
  <c r="AT5" i="14"/>
  <c r="AT6" i="14" l="1"/>
  <c r="AU5" i="14"/>
  <c r="AU6" i="14" l="1"/>
  <c r="AV5" i="14"/>
  <c r="AV6" i="14" l="1"/>
  <c r="AW5" i="14"/>
  <c r="AW6" i="14" l="1"/>
  <c r="AX5" i="14"/>
  <c r="AX6" i="14" l="1"/>
  <c r="AY5" i="14"/>
  <c r="AY6" i="14" l="1"/>
  <c r="AY4" i="14"/>
  <c r="AZ5" i="14"/>
  <c r="BA5" i="14" l="1"/>
  <c r="AZ6" i="14"/>
  <c r="BB5" i="14" l="1"/>
  <c r="BA6" i="14"/>
  <c r="BC5" i="14" l="1"/>
  <c r="BB6" i="14"/>
  <c r="BD5" i="14" l="1"/>
  <c r="BC6" i="14"/>
  <c r="BE5" i="14" l="1"/>
  <c r="BD6" i="14"/>
  <c r="BF5" i="14" l="1"/>
  <c r="BE6" i="14"/>
  <c r="BG5" i="14" l="1"/>
  <c r="BF4" i="14"/>
  <c r="BF6" i="14"/>
  <c r="BG6" i="14" l="1"/>
  <c r="BH5" i="14"/>
  <c r="BH6" i="14" l="1"/>
  <c r="BI5" i="14"/>
  <c r="BI6" i="14" l="1"/>
  <c r="BJ5" i="14"/>
  <c r="BJ6" i="14" l="1"/>
  <c r="BK5" i="14"/>
  <c r="BK6" i="14" l="1"/>
  <c r="BL5" i="14"/>
  <c r="BL6" i="14" s="1"/>
</calcChain>
</file>

<file path=xl/sharedStrings.xml><?xml version="1.0" encoding="utf-8"?>
<sst xmlns="http://schemas.openxmlformats.org/spreadsheetml/2006/main" count="132" uniqueCount="99">
  <si>
    <t>Vehículo Autónomo para marcado de Layout</t>
  </si>
  <si>
    <t>Fecha de inicio:</t>
  </si>
  <si>
    <t>Espinola - Sullca</t>
  </si>
  <si>
    <t>Lideres de proyecto</t>
  </si>
  <si>
    <t>Semana:</t>
  </si>
  <si>
    <t>TAREA</t>
  </si>
  <si>
    <t>RESPONSABLE</t>
  </si>
  <si>
    <t>PROGRESO</t>
  </si>
  <si>
    <t>INICIO</t>
  </si>
  <si>
    <t>DIAS</t>
  </si>
  <si>
    <t>FINAL</t>
  </si>
  <si>
    <t>Chasis</t>
  </si>
  <si>
    <t>Calculo de torque y selección de motores</t>
  </si>
  <si>
    <t>Agustin</t>
  </si>
  <si>
    <t>Diseño y montaje de chasis</t>
  </si>
  <si>
    <t>Marco</t>
  </si>
  <si>
    <t>Navegación y ubicación</t>
  </si>
  <si>
    <t>Programación Apriltags</t>
  </si>
  <si>
    <t>Programación de movimiento (encoders + apriltag)</t>
  </si>
  <si>
    <t>Agustin / Marco</t>
  </si>
  <si>
    <t>Control de calidad</t>
  </si>
  <si>
    <t>Control de trayectorias</t>
  </si>
  <si>
    <t>Implementación de Control PID</t>
  </si>
  <si>
    <t>Interfaz</t>
  </si>
  <si>
    <t>Conexión PC / ESP32 por Bluetooth</t>
  </si>
  <si>
    <t>Convertir CAD a coordenadas</t>
  </si>
  <si>
    <t>1ra Presentación (motores manual, encoders, software preliminar)</t>
  </si>
  <si>
    <t>Sistema de marcado</t>
  </si>
  <si>
    <t>Bomba de tinta</t>
  </si>
  <si>
    <t xml:space="preserve">Diseño de tanque de tinta </t>
  </si>
  <si>
    <t>Probar boquillas y tintas</t>
  </si>
  <si>
    <t>Ensayos</t>
  </si>
  <si>
    <t>60% funcionando (movimiento auto, Apriltags, software avanzado)</t>
  </si>
  <si>
    <t>Pruebas y correciones</t>
  </si>
  <si>
    <t>Presentación</t>
  </si>
  <si>
    <t>Preparar documentación</t>
  </si>
  <si>
    <t>Preparar presentación</t>
  </si>
  <si>
    <t>Presentación final</t>
  </si>
  <si>
    <t>Alumno</t>
  </si>
  <si>
    <t>Tarea</t>
  </si>
  <si>
    <t>Horas estimadas</t>
  </si>
  <si>
    <t>Horas reales</t>
  </si>
  <si>
    <t>Diferencia</t>
  </si>
  <si>
    <t>Espinola Agustin</t>
  </si>
  <si>
    <t>Definición de requerimientos y cálculo preliminar de componentes</t>
  </si>
  <si>
    <t>Diseño de interfaz y conexión</t>
  </si>
  <si>
    <t>Apriltag</t>
  </si>
  <si>
    <t>Programación movimiento</t>
  </si>
  <si>
    <t>Sullca Marco</t>
  </si>
  <si>
    <t>LISTADO DE COMPONENTES</t>
  </si>
  <si>
    <t>Nombre</t>
  </si>
  <si>
    <t>Descripción</t>
  </si>
  <si>
    <t>Cantidad</t>
  </si>
  <si>
    <t>Proveedor</t>
  </si>
  <si>
    <t>Precio unitario</t>
  </si>
  <si>
    <t>Total</t>
  </si>
  <si>
    <t>ESP32</t>
  </si>
  <si>
    <t>Microcontrolador</t>
  </si>
  <si>
    <t>Mercado Libre</t>
  </si>
  <si>
    <t>Motor 12V DC</t>
  </si>
  <si>
    <t>AS5600</t>
  </si>
  <si>
    <t>Encoder Magnético</t>
  </si>
  <si>
    <t>MPU6050</t>
  </si>
  <si>
    <t>Giroscopio + Acelerometro</t>
  </si>
  <si>
    <t>HC-SR04</t>
  </si>
  <si>
    <t>Sensor Ultrasónico</t>
  </si>
  <si>
    <t>Baterias 12V</t>
  </si>
  <si>
    <t>Bateria 18650 - 3.7V 2500mAh</t>
  </si>
  <si>
    <t>Portabaterias</t>
  </si>
  <si>
    <t>Portabaterias para 3 18650</t>
  </si>
  <si>
    <t>Módulo de protección para baterias</t>
  </si>
  <si>
    <t>BMS para 3 baterias 18650</t>
  </si>
  <si>
    <t>Módulo de carga de baterias</t>
  </si>
  <si>
    <t>TP4056</t>
  </si>
  <si>
    <t>Buzzer</t>
  </si>
  <si>
    <t>ISD1820</t>
  </si>
  <si>
    <t>Led / Baliza</t>
  </si>
  <si>
    <t>Leds colores varios</t>
  </si>
  <si>
    <t>Interruptor de dos posiciones</t>
  </si>
  <si>
    <t>Llave para ON / OFF</t>
  </si>
  <si>
    <t>Tinta</t>
  </si>
  <si>
    <t>Tinta de impresora 100ml</t>
  </si>
  <si>
    <t>Cables dupont</t>
  </si>
  <si>
    <t>Cables dupont de 20cm</t>
  </si>
  <si>
    <t>Borneras</t>
  </si>
  <si>
    <t xml:space="preserve">Filamento </t>
  </si>
  <si>
    <t>Chasis, ruedas, etc.</t>
  </si>
  <si>
    <t xml:space="preserve"> $ARS </t>
  </si>
  <si>
    <t>$USD</t>
  </si>
  <si>
    <t>ESP32 CAM</t>
  </si>
  <si>
    <t>JGA25- 370 50RPM</t>
  </si>
  <si>
    <t>Bomba peristaltica</t>
  </si>
  <si>
    <t>TCA9548A</t>
  </si>
  <si>
    <t>Expansor I2C</t>
  </si>
  <si>
    <t>Regulador de voltaje</t>
  </si>
  <si>
    <t>LM2596</t>
  </si>
  <si>
    <t>L298N</t>
  </si>
  <si>
    <t>Driver de motor</t>
  </si>
  <si>
    <t>Bomba persitaltica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</si>
</sst>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m/d/yy;@"/>
    <numFmt numFmtId="166" formatCode="ddd\,\ m/d/yyyy"/>
    <numFmt numFmtId="167" formatCode="mmm\ d\,\ yyyy"/>
    <numFmt numFmtId="168" formatCode="d"/>
    <numFmt numFmtId="169" formatCode="_-[$$-409]* #,##0_ ;_-[$$-409]* \-#,##0\ ;_-[$$-409]* &quot;-&quot;??_ ;_-@_ "/>
  </numFmts>
  <fonts count="28" x14ac:knownFonts="1"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u/>
      <sz val="11"/>
      <color indexed="12"/>
      <name val="Arial"/>
      <family val="2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22"/>
      <color theme="1" tint="0.34998626667073579"/>
      <name val="Arial Black"/>
      <family val="2"/>
      <scheme val="major"/>
    </font>
    <font>
      <b/>
      <sz val="11"/>
      <color theme="1" tint="0.499984740745262"/>
      <name val="Arial"/>
      <family val="2"/>
      <scheme val="minor"/>
    </font>
    <font>
      <sz val="10"/>
      <color theme="1" tint="0.499984740745262"/>
      <name val="Arial"/>
      <family val="2"/>
    </font>
    <font>
      <sz val="11"/>
      <color theme="0"/>
      <name val="Arial"/>
      <family val="2"/>
      <scheme val="minor"/>
    </font>
    <font>
      <sz val="10"/>
      <name val="Arial"/>
      <family val="2"/>
    </font>
    <font>
      <b/>
      <sz val="20"/>
      <color theme="4" tint="-0.249977111117893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8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b/>
      <sz val="16"/>
      <color theme="9"/>
      <name val="Arial"/>
      <family val="2"/>
      <scheme val="minor"/>
    </font>
    <font>
      <b/>
      <sz val="16"/>
      <color theme="9"/>
      <name val="Arial Black"/>
      <family val="2"/>
      <scheme val="major"/>
    </font>
    <font>
      <sz val="11"/>
      <color theme="1"/>
      <name val="Arial Black"/>
      <family val="2"/>
      <scheme val="major"/>
    </font>
    <font>
      <b/>
      <sz val="12"/>
      <color theme="9"/>
      <name val="Arial"/>
      <family val="2"/>
      <scheme val="minor"/>
    </font>
    <font>
      <b/>
      <sz val="9"/>
      <color theme="9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theme="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41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5" tint="0.59996337778862885"/>
      </top>
      <bottom style="thin">
        <color theme="5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n">
        <color theme="3" tint="0.749992370372631"/>
      </bottom>
      <diagonal/>
    </border>
    <border>
      <left/>
      <right/>
      <top style="thin">
        <color theme="6" tint="0.59996337778862885"/>
      </top>
      <bottom style="thin">
        <color theme="3" tint="0.749992370372631"/>
      </bottom>
      <diagonal/>
    </border>
    <border>
      <left/>
      <right/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5" tint="0.59999389629810485"/>
      </left>
      <right/>
      <top style="thin">
        <color theme="5" tint="0.59999389629810485"/>
      </top>
      <bottom style="thin">
        <color theme="5" tint="0.59999389629810485"/>
      </bottom>
      <diagonal/>
    </border>
    <border>
      <left/>
      <right/>
      <top style="thin">
        <color theme="5" tint="0.59999389629810485"/>
      </top>
      <bottom style="thin">
        <color theme="5" tint="0.59999389629810485"/>
      </bottom>
      <diagonal/>
    </border>
    <border>
      <left/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9" fillId="0" borderId="0"/>
    <xf numFmtId="164" fontId="4" fillId="0" borderId="2" applyFont="0" applyFill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indent="1"/>
    </xf>
    <xf numFmtId="166" fontId="4" fillId="0" borderId="2">
      <alignment horizontal="center" vertical="center"/>
    </xf>
    <xf numFmtId="165" fontId="4" fillId="0" borderId="1" applyFill="0">
      <alignment horizontal="center" vertical="center"/>
    </xf>
    <xf numFmtId="0" fontId="4" fillId="0" borderId="1" applyFill="0">
      <alignment horizontal="center" vertical="center"/>
    </xf>
    <xf numFmtId="0" fontId="4" fillId="0" borderId="1" applyFill="0">
      <alignment horizontal="left" vertical="center" indent="2"/>
    </xf>
    <xf numFmtId="44" fontId="4" fillId="0" borderId="0" applyFon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8" fillId="0" borderId="0" xfId="1" applyFont="1" applyAlignment="1" applyProtection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left" indent="1"/>
    </xf>
    <xf numFmtId="0" fontId="4" fillId="0" borderId="0" xfId="0" applyFont="1"/>
    <xf numFmtId="0" fontId="4" fillId="0" borderId="0" xfId="8">
      <alignment horizontal="right" indent="1"/>
    </xf>
    <xf numFmtId="0" fontId="4" fillId="0" borderId="0" xfId="0" applyFont="1" applyAlignment="1">
      <alignment horizontal="center"/>
    </xf>
    <xf numFmtId="0" fontId="1" fillId="0" borderId="0" xfId="1" applyFont="1" applyAlignment="1" applyProtection="1">
      <alignment horizontal="left" vertical="top" indent="1"/>
    </xf>
    <xf numFmtId="0" fontId="4" fillId="0" borderId="0" xfId="0" applyFont="1" applyAlignment="1">
      <alignment horizontal="left" indent="1"/>
    </xf>
    <xf numFmtId="168" fontId="17" fillId="12" borderId="19" xfId="0" applyNumberFormat="1" applyFont="1" applyFill="1" applyBorder="1" applyAlignment="1">
      <alignment horizontal="center" vertical="center"/>
    </xf>
    <xf numFmtId="168" fontId="17" fillId="12" borderId="17" xfId="0" applyNumberFormat="1" applyFont="1" applyFill="1" applyBorder="1" applyAlignment="1">
      <alignment horizontal="center" vertical="center"/>
    </xf>
    <xf numFmtId="168" fontId="17" fillId="12" borderId="18" xfId="0" applyNumberFormat="1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 shrinkToFit="1"/>
    </xf>
    <xf numFmtId="0" fontId="18" fillId="2" borderId="13" xfId="0" applyFont="1" applyFill="1" applyBorder="1" applyAlignment="1">
      <alignment horizontal="center" vertical="center" shrinkToFit="1"/>
    </xf>
    <xf numFmtId="0" fontId="18" fillId="2" borderId="14" xfId="0" applyFont="1" applyFill="1" applyBorder="1" applyAlignment="1">
      <alignment horizontal="center" vertical="center" shrinkToFit="1"/>
    </xf>
    <xf numFmtId="0" fontId="15" fillId="0" borderId="0" xfId="0" applyFont="1"/>
    <xf numFmtId="0" fontId="15" fillId="0" borderId="0" xfId="0" applyFont="1" applyAlignment="1">
      <alignment wrapText="1"/>
    </xf>
    <xf numFmtId="0" fontId="4" fillId="0" borderId="3" xfId="0" applyFont="1" applyBorder="1" applyAlignment="1">
      <alignment vertical="center"/>
    </xf>
    <xf numFmtId="0" fontId="19" fillId="6" borderId="0" xfId="0" applyFont="1" applyFill="1" applyAlignment="1">
      <alignment horizontal="left" vertical="center" indent="1"/>
    </xf>
    <xf numFmtId="0" fontId="15" fillId="6" borderId="0" xfId="11" applyFont="1" applyFill="1" applyBorder="1" applyAlignment="1">
      <alignment vertical="center"/>
    </xf>
    <xf numFmtId="9" fontId="1" fillId="6" borderId="0" xfId="2" applyFont="1" applyFill="1" applyBorder="1" applyAlignment="1">
      <alignment horizontal="center" vertical="center"/>
    </xf>
    <xf numFmtId="165" fontId="15" fillId="6" borderId="0" xfId="0" applyNumberFormat="1" applyFont="1" applyFill="1" applyAlignment="1">
      <alignment horizontal="center" vertical="center"/>
    </xf>
    <xf numFmtId="165" fontId="1" fillId="6" borderId="0" xfId="0" applyNumberFormat="1" applyFont="1" applyFill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5" fillId="3" borderId="6" xfId="11" applyFont="1" applyFill="1" applyBorder="1" applyAlignment="1">
      <alignment vertical="center"/>
    </xf>
    <xf numFmtId="9" fontId="1" fillId="3" borderId="6" xfId="2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5" fillId="3" borderId="7" xfId="11" applyFont="1" applyFill="1" applyBorder="1" applyAlignment="1">
      <alignment vertical="center"/>
    </xf>
    <xf numFmtId="9" fontId="1" fillId="3" borderId="7" xfId="2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19" fillId="7" borderId="0" xfId="0" applyFont="1" applyFill="1" applyAlignment="1">
      <alignment horizontal="left" vertical="center" indent="1"/>
    </xf>
    <xf numFmtId="0" fontId="15" fillId="7" borderId="0" xfId="11" applyFont="1" applyFill="1" applyBorder="1" applyAlignment="1">
      <alignment vertical="center"/>
    </xf>
    <xf numFmtId="9" fontId="1" fillId="7" borderId="0" xfId="2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vertical="center"/>
    </xf>
    <xf numFmtId="9" fontId="1" fillId="4" borderId="5" xfId="2" applyFont="1" applyFill="1" applyBorder="1" applyAlignment="1">
      <alignment horizontal="center" vertical="center"/>
    </xf>
    <xf numFmtId="0" fontId="19" fillId="8" borderId="0" xfId="0" applyFont="1" applyFill="1" applyAlignment="1">
      <alignment horizontal="left" vertical="center" indent="1"/>
    </xf>
    <xf numFmtId="0" fontId="15" fillId="8" borderId="0" xfId="11" applyFont="1" applyFill="1" applyBorder="1" applyAlignment="1">
      <alignment vertical="center"/>
    </xf>
    <xf numFmtId="9" fontId="1" fillId="8" borderId="0" xfId="2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5" fillId="5" borderId="8" xfId="12" applyFont="1" applyFill="1" applyBorder="1">
      <alignment horizontal="left" vertical="center" indent="2"/>
    </xf>
    <xf numFmtId="0" fontId="15" fillId="5" borderId="8" xfId="11" applyFont="1" applyFill="1" applyBorder="1" applyAlignment="1">
      <alignment vertical="center"/>
    </xf>
    <xf numFmtId="9" fontId="1" fillId="5" borderId="8" xfId="2" applyFont="1" applyFill="1" applyBorder="1" applyAlignment="1">
      <alignment horizontal="center" vertical="center"/>
    </xf>
    <xf numFmtId="0" fontId="15" fillId="9" borderId="0" xfId="11" applyFont="1" applyFill="1" applyBorder="1" applyAlignment="1">
      <alignment vertical="center"/>
    </xf>
    <xf numFmtId="9" fontId="1" fillId="9" borderId="0" xfId="2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5" fillId="0" borderId="0" xfId="12" applyFont="1" applyBorder="1">
      <alignment horizontal="left" vertical="center" indent="2"/>
    </xf>
    <xf numFmtId="0" fontId="15" fillId="0" borderId="0" xfId="11" applyFont="1" applyBorder="1" applyAlignment="1">
      <alignment vertical="center"/>
    </xf>
    <xf numFmtId="9" fontId="1" fillId="0" borderId="0" xfId="2" applyFont="1" applyBorder="1" applyAlignment="1">
      <alignment horizontal="center" vertical="center"/>
    </xf>
    <xf numFmtId="165" fontId="15" fillId="0" borderId="0" xfId="10" applyFont="1" applyBorder="1">
      <alignment horizontal="center" vertical="center"/>
    </xf>
    <xf numFmtId="0" fontId="20" fillId="2" borderId="0" xfId="0" applyFont="1" applyFill="1" applyAlignment="1">
      <alignment horizontal="left" vertical="center" indent="1"/>
    </xf>
    <xf numFmtId="0" fontId="20" fillId="2" borderId="0" xfId="0" applyFont="1" applyFill="1" applyAlignment="1">
      <alignment vertical="center"/>
    </xf>
    <xf numFmtId="9" fontId="1" fillId="2" borderId="0" xfId="2" applyFont="1" applyFill="1" applyBorder="1" applyAlignment="1">
      <alignment horizontal="center" vertical="center"/>
    </xf>
    <xf numFmtId="165" fontId="2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3" fillId="0" borderId="0" xfId="5" applyFont="1" applyAlignment="1">
      <alignment horizontal="left"/>
    </xf>
    <xf numFmtId="0" fontId="25" fillId="0" borderId="0" xfId="6" applyFont="1" applyAlignment="1">
      <alignment horizontal="left" indent="1"/>
    </xf>
    <xf numFmtId="0" fontId="26" fillId="0" borderId="0" xfId="7" applyFont="1" applyAlignment="1">
      <alignment horizontal="left" indent="1"/>
    </xf>
    <xf numFmtId="14" fontId="15" fillId="3" borderId="6" xfId="10" applyNumberFormat="1" applyFont="1" applyFill="1" applyBorder="1">
      <alignment horizontal="center" vertical="center"/>
    </xf>
    <xf numFmtId="14" fontId="15" fillId="3" borderId="7" xfId="10" applyNumberFormat="1" applyFont="1" applyFill="1" applyBorder="1">
      <alignment horizontal="center" vertical="center"/>
    </xf>
    <xf numFmtId="14" fontId="15" fillId="7" borderId="0" xfId="0" applyNumberFormat="1" applyFont="1" applyFill="1" applyAlignment="1">
      <alignment horizontal="center" vertical="center"/>
    </xf>
    <xf numFmtId="14" fontId="1" fillId="7" borderId="0" xfId="0" applyNumberFormat="1" applyFont="1" applyFill="1" applyAlignment="1">
      <alignment horizontal="center" vertical="center"/>
    </xf>
    <xf numFmtId="14" fontId="15" fillId="4" borderId="5" xfId="10" applyNumberFormat="1" applyFont="1" applyFill="1" applyBorder="1">
      <alignment horizontal="center" vertical="center"/>
    </xf>
    <xf numFmtId="14" fontId="15" fillId="8" borderId="0" xfId="0" applyNumberFormat="1" applyFont="1" applyFill="1" applyAlignment="1">
      <alignment horizontal="center" vertical="center"/>
    </xf>
    <xf numFmtId="14" fontId="1" fillId="8" borderId="0" xfId="0" applyNumberFormat="1" applyFont="1" applyFill="1" applyAlignment="1">
      <alignment horizontal="center" vertical="center"/>
    </xf>
    <xf numFmtId="14" fontId="15" fillId="5" borderId="8" xfId="10" applyNumberFormat="1" applyFont="1" applyFill="1" applyBorder="1">
      <alignment horizontal="center" vertical="center"/>
    </xf>
    <xf numFmtId="14" fontId="15" fillId="9" borderId="0" xfId="0" applyNumberFormat="1" applyFont="1" applyFill="1" applyAlignment="1">
      <alignment horizontal="center" vertical="center"/>
    </xf>
    <xf numFmtId="14" fontId="1" fillId="9" borderId="0" xfId="0" applyNumberFormat="1" applyFont="1" applyFill="1" applyAlignment="1">
      <alignment horizontal="center" vertical="center"/>
    </xf>
    <xf numFmtId="0" fontId="15" fillId="13" borderId="0" xfId="11" applyFont="1" applyFill="1" applyBorder="1" applyAlignment="1">
      <alignment vertical="center"/>
    </xf>
    <xf numFmtId="9" fontId="1" fillId="13" borderId="0" xfId="2" applyFont="1" applyFill="1" applyBorder="1" applyAlignment="1">
      <alignment horizontal="center" vertical="center"/>
    </xf>
    <xf numFmtId="14" fontId="15" fillId="13" borderId="0" xfId="10" applyNumberFormat="1" applyFont="1" applyFill="1" applyBorder="1">
      <alignment horizontal="center" vertical="center"/>
    </xf>
    <xf numFmtId="0" fontId="19" fillId="13" borderId="0" xfId="12" applyFont="1" applyFill="1" applyBorder="1">
      <alignment horizontal="left" vertical="center" indent="2"/>
    </xf>
    <xf numFmtId="0" fontId="15" fillId="3" borderId="6" xfId="10" applyNumberFormat="1" applyFont="1" applyFill="1" applyBorder="1">
      <alignment horizontal="center" vertical="center"/>
    </xf>
    <xf numFmtId="0" fontId="15" fillId="3" borderId="7" xfId="10" applyNumberFormat="1" applyFont="1" applyFill="1" applyBorder="1">
      <alignment horizontal="center" vertical="center"/>
    </xf>
    <xf numFmtId="0" fontId="15" fillId="4" borderId="5" xfId="10" applyNumberFormat="1" applyFont="1" applyFill="1" applyBorder="1">
      <alignment horizontal="center" vertical="center"/>
    </xf>
    <xf numFmtId="0" fontId="15" fillId="5" borderId="8" xfId="10" applyNumberFormat="1" applyFont="1" applyFill="1" applyBorder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13" borderId="0" xfId="10" applyNumberFormat="1" applyFont="1" applyFill="1" applyBorder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14" borderId="0" xfId="11" applyFont="1" applyFill="1" applyBorder="1" applyAlignment="1">
      <alignment vertical="center"/>
    </xf>
    <xf numFmtId="9" fontId="1" fillId="14" borderId="0" xfId="2" applyFont="1" applyFill="1" applyBorder="1" applyAlignment="1">
      <alignment horizontal="center" vertical="center"/>
    </xf>
    <xf numFmtId="14" fontId="15" fillId="14" borderId="0" xfId="10" applyNumberFormat="1" applyFont="1" applyFill="1" applyBorder="1">
      <alignment horizontal="center" vertical="center"/>
    </xf>
    <xf numFmtId="0" fontId="15" fillId="14" borderId="0" xfId="10" applyNumberFormat="1" applyFont="1" applyFill="1" applyBorder="1">
      <alignment horizontal="center" vertical="center"/>
    </xf>
    <xf numFmtId="0" fontId="19" fillId="9" borderId="0" xfId="0" applyFont="1" applyFill="1" applyAlignment="1">
      <alignment horizontal="left" vertical="center"/>
    </xf>
    <xf numFmtId="0" fontId="19" fillId="14" borderId="0" xfId="12" applyFont="1" applyFill="1" applyBorder="1" applyAlignment="1">
      <alignment horizontal="left" vertical="center"/>
    </xf>
    <xf numFmtId="0" fontId="15" fillId="4" borderId="0" xfId="11" applyFont="1" applyFill="1" applyBorder="1" applyAlignment="1">
      <alignment vertical="center"/>
    </xf>
    <xf numFmtId="9" fontId="1" fillId="4" borderId="0" xfId="2" applyFont="1" applyFill="1" applyBorder="1" applyAlignment="1">
      <alignment horizontal="center" vertical="center"/>
    </xf>
    <xf numFmtId="14" fontId="15" fillId="4" borderId="0" xfId="10" applyNumberFormat="1" applyFont="1" applyFill="1" applyBorder="1">
      <alignment horizontal="center" vertical="center"/>
    </xf>
    <xf numFmtId="0" fontId="15" fillId="4" borderId="0" xfId="10" applyNumberFormat="1" applyFont="1" applyFill="1" applyBorder="1">
      <alignment horizontal="center" vertical="center"/>
    </xf>
    <xf numFmtId="0" fontId="19" fillId="15" borderId="0" xfId="12" applyFont="1" applyFill="1" applyBorder="1" applyAlignment="1">
      <alignment vertical="center"/>
    </xf>
    <xf numFmtId="0" fontId="15" fillId="15" borderId="0" xfId="11" applyFont="1" applyFill="1" applyBorder="1" applyAlignment="1">
      <alignment vertical="center"/>
    </xf>
    <xf numFmtId="9" fontId="1" fillId="15" borderId="0" xfId="2" applyFont="1" applyFill="1" applyBorder="1" applyAlignment="1">
      <alignment horizontal="center" vertical="center"/>
    </xf>
    <xf numFmtId="14" fontId="15" fillId="15" borderId="0" xfId="10" applyNumberFormat="1" applyFont="1" applyFill="1" applyBorder="1">
      <alignment horizontal="center" vertical="center"/>
    </xf>
    <xf numFmtId="0" fontId="15" fillId="15" borderId="0" xfId="10" applyNumberFormat="1" applyFont="1" applyFill="1" applyBorder="1">
      <alignment horizontal="center" vertical="center"/>
    </xf>
    <xf numFmtId="0" fontId="15" fillId="17" borderId="21" xfId="12" applyFont="1" applyFill="1" applyBorder="1">
      <alignment horizontal="left" vertical="center" indent="2"/>
    </xf>
    <xf numFmtId="9" fontId="1" fillId="17" borderId="22" xfId="2" applyFont="1" applyFill="1" applyBorder="1" applyAlignment="1">
      <alignment horizontal="center" vertical="center"/>
    </xf>
    <xf numFmtId="14" fontId="15" fillId="17" borderId="22" xfId="10" applyNumberFormat="1" applyFont="1" applyFill="1" applyBorder="1">
      <alignment horizontal="center" vertical="center"/>
    </xf>
    <xf numFmtId="0" fontId="15" fillId="17" borderId="22" xfId="10" applyNumberFormat="1" applyFont="1" applyFill="1" applyBorder="1">
      <alignment horizontal="center" vertical="center"/>
    </xf>
    <xf numFmtId="0" fontId="15" fillId="17" borderId="23" xfId="12" applyFont="1" applyFill="1" applyBorder="1">
      <alignment horizontal="left" vertical="center" indent="2"/>
    </xf>
    <xf numFmtId="9" fontId="1" fillId="17" borderId="23" xfId="2" applyFont="1" applyFill="1" applyBorder="1" applyAlignment="1">
      <alignment horizontal="center" vertical="center"/>
    </xf>
    <xf numFmtId="14" fontId="15" fillId="17" borderId="23" xfId="10" applyNumberFormat="1" applyFont="1" applyFill="1" applyBorder="1">
      <alignment horizontal="center" vertical="center"/>
    </xf>
    <xf numFmtId="0" fontId="15" fillId="17" borderId="23" xfId="10" applyNumberFormat="1" applyFont="1" applyFill="1" applyBorder="1">
      <alignment horizontal="center" vertical="center"/>
    </xf>
    <xf numFmtId="0" fontId="15" fillId="4" borderId="24" xfId="12" applyFont="1" applyFill="1" applyBorder="1">
      <alignment horizontal="left" vertical="center" indent="2"/>
    </xf>
    <xf numFmtId="0" fontId="15" fillId="4" borderId="25" xfId="11" applyFont="1" applyFill="1" applyBorder="1" applyAlignment="1">
      <alignment vertical="center"/>
    </xf>
    <xf numFmtId="9" fontId="1" fillId="4" borderId="25" xfId="2" applyFont="1" applyFill="1" applyBorder="1" applyAlignment="1">
      <alignment horizontal="center" vertical="center"/>
    </xf>
    <xf numFmtId="14" fontId="15" fillId="4" borderId="25" xfId="10" applyNumberFormat="1" applyFont="1" applyFill="1" applyBorder="1">
      <alignment horizontal="center" vertical="center"/>
    </xf>
    <xf numFmtId="0" fontId="15" fillId="4" borderId="25" xfId="10" applyNumberFormat="1" applyFont="1" applyFill="1" applyBorder="1">
      <alignment horizontal="center" vertical="center"/>
    </xf>
    <xf numFmtId="14" fontId="15" fillId="4" borderId="26" xfId="10" applyNumberFormat="1" applyFont="1" applyFill="1" applyBorder="1">
      <alignment horizontal="center" vertical="center"/>
    </xf>
    <xf numFmtId="0" fontId="15" fillId="16" borderId="27" xfId="12" applyFont="1" applyFill="1" applyBorder="1">
      <alignment horizontal="left" vertical="center" indent="2"/>
    </xf>
    <xf numFmtId="0" fontId="15" fillId="16" borderId="28" xfId="11" applyFont="1" applyFill="1" applyBorder="1" applyAlignment="1">
      <alignment vertical="center"/>
    </xf>
    <xf numFmtId="9" fontId="1" fillId="16" borderId="28" xfId="2" applyFont="1" applyFill="1" applyBorder="1" applyAlignment="1">
      <alignment horizontal="center" vertical="center"/>
    </xf>
    <xf numFmtId="14" fontId="15" fillId="16" borderId="28" xfId="10" applyNumberFormat="1" applyFont="1" applyFill="1" applyBorder="1">
      <alignment horizontal="center" vertical="center"/>
    </xf>
    <xf numFmtId="0" fontId="15" fillId="16" borderId="28" xfId="10" applyNumberFormat="1" applyFont="1" applyFill="1" applyBorder="1">
      <alignment horizontal="center" vertical="center"/>
    </xf>
    <xf numFmtId="14" fontId="15" fillId="16" borderId="29" xfId="10" applyNumberFormat="1" applyFont="1" applyFill="1" applyBorder="1">
      <alignment horizontal="center" vertical="center"/>
    </xf>
    <xf numFmtId="0" fontId="15" fillId="10" borderId="30" xfId="12" applyFont="1" applyFill="1" applyBorder="1">
      <alignment horizontal="left" vertical="center" indent="2"/>
    </xf>
    <xf numFmtId="0" fontId="15" fillId="10" borderId="31" xfId="11" applyFont="1" applyFill="1" applyBorder="1" applyAlignment="1">
      <alignment vertical="center"/>
    </xf>
    <xf numFmtId="9" fontId="1" fillId="10" borderId="31" xfId="2" applyFont="1" applyFill="1" applyBorder="1" applyAlignment="1">
      <alignment horizontal="center" vertical="center"/>
    </xf>
    <xf numFmtId="14" fontId="15" fillId="10" borderId="31" xfId="10" applyNumberFormat="1" applyFont="1" applyFill="1" applyBorder="1">
      <alignment horizontal="center" vertical="center"/>
    </xf>
    <xf numFmtId="0" fontId="15" fillId="10" borderId="31" xfId="10" applyNumberFormat="1" applyFont="1" applyFill="1" applyBorder="1">
      <alignment horizontal="center" vertical="center"/>
    </xf>
    <xf numFmtId="14" fontId="15" fillId="10" borderId="32" xfId="10" applyNumberFormat="1" applyFont="1" applyFill="1" applyBorder="1">
      <alignment horizontal="center" vertical="center"/>
    </xf>
    <xf numFmtId="0" fontId="15" fillId="10" borderId="33" xfId="10" applyNumberFormat="1" applyFont="1" applyFill="1" applyBorder="1">
      <alignment horizontal="center" vertical="center"/>
    </xf>
    <xf numFmtId="0" fontId="15" fillId="10" borderId="34" xfId="12" applyFont="1" applyFill="1" applyBorder="1">
      <alignment horizontal="left" vertical="center" indent="2"/>
    </xf>
    <xf numFmtId="0" fontId="15" fillId="10" borderId="33" xfId="11" applyFont="1" applyFill="1" applyBorder="1" applyAlignment="1">
      <alignment vertical="center"/>
    </xf>
    <xf numFmtId="9" fontId="1" fillId="10" borderId="33" xfId="2" applyFont="1" applyFill="1" applyBorder="1" applyAlignment="1">
      <alignment horizontal="center" vertical="center"/>
    </xf>
    <xf numFmtId="14" fontId="15" fillId="10" borderId="33" xfId="10" applyNumberFormat="1" applyFont="1" applyFill="1" applyBorder="1">
      <alignment horizontal="center" vertical="center"/>
    </xf>
    <xf numFmtId="14" fontId="15" fillId="10" borderId="35" xfId="10" applyNumberFormat="1" applyFont="1" applyFill="1" applyBorder="1">
      <alignment horizontal="center" vertical="center"/>
    </xf>
    <xf numFmtId="0" fontId="15" fillId="3" borderId="7" xfId="12" applyFont="1" applyFill="1" applyBorder="1" applyAlignment="1">
      <alignment horizontal="left" vertical="top" wrapText="1"/>
    </xf>
    <xf numFmtId="0" fontId="15" fillId="4" borderId="5" xfId="12" applyFont="1" applyFill="1" applyBorder="1" applyAlignment="1">
      <alignment horizontal="left" vertical="center"/>
    </xf>
    <xf numFmtId="169" fontId="0" fillId="0" borderId="0" xfId="0" applyNumberFormat="1"/>
    <xf numFmtId="0" fontId="0" fillId="0" borderId="0" xfId="0" applyAlignment="1">
      <alignment wrapText="1"/>
    </xf>
    <xf numFmtId="169" fontId="0" fillId="0" borderId="0" xfId="0" applyNumberFormat="1" applyAlignment="1">
      <alignment horizontal="center"/>
    </xf>
    <xf numFmtId="0" fontId="27" fillId="0" borderId="0" xfId="0" applyFont="1" applyAlignment="1">
      <alignment horizontal="center"/>
    </xf>
    <xf numFmtId="44" fontId="27" fillId="0" borderId="0" xfId="13" applyFont="1"/>
    <xf numFmtId="0" fontId="0" fillId="0" borderId="39" xfId="0" applyBorder="1"/>
    <xf numFmtId="0" fontId="0" fillId="0" borderId="39" xfId="0" applyBorder="1" applyAlignment="1">
      <alignment horizontal="center"/>
    </xf>
    <xf numFmtId="0" fontId="0" fillId="0" borderId="39" xfId="0" applyBorder="1" applyAlignment="1">
      <alignment vertical="center" wrapText="1"/>
    </xf>
    <xf numFmtId="0" fontId="15" fillId="19" borderId="23" xfId="11" applyFont="1" applyFill="1" applyBorder="1">
      <alignment horizontal="center" vertical="center"/>
    </xf>
    <xf numFmtId="9" fontId="1" fillId="19" borderId="23" xfId="2" applyFont="1" applyFill="1" applyBorder="1" applyAlignment="1">
      <alignment horizontal="center" vertical="center"/>
    </xf>
    <xf numFmtId="14" fontId="15" fillId="19" borderId="23" xfId="10" applyNumberFormat="1" applyFont="1" applyFill="1" applyBorder="1">
      <alignment horizontal="center" vertical="center"/>
    </xf>
    <xf numFmtId="0" fontId="15" fillId="19" borderId="23" xfId="10" applyNumberFormat="1" applyFont="1" applyFill="1" applyBorder="1">
      <alignment horizontal="center" vertical="center"/>
    </xf>
    <xf numFmtId="14" fontId="15" fillId="19" borderId="22" xfId="10" applyNumberFormat="1" applyFont="1" applyFill="1" applyBorder="1">
      <alignment horizontal="center" vertical="center"/>
    </xf>
    <xf numFmtId="0" fontId="15" fillId="19" borderId="30" xfId="12" applyFont="1" applyFill="1" applyBorder="1">
      <alignment horizontal="left" vertical="center" indent="2"/>
    </xf>
    <xf numFmtId="0" fontId="15" fillId="19" borderId="31" xfId="11" applyFont="1" applyFill="1" applyBorder="1" applyAlignment="1">
      <alignment vertical="center"/>
    </xf>
    <xf numFmtId="9" fontId="1" fillId="19" borderId="31" xfId="2" applyFont="1" applyFill="1" applyBorder="1" applyAlignment="1">
      <alignment horizontal="center" vertical="center"/>
    </xf>
    <xf numFmtId="14" fontId="15" fillId="19" borderId="31" xfId="10" applyNumberFormat="1" applyFont="1" applyFill="1" applyBorder="1">
      <alignment horizontal="center" vertical="center"/>
    </xf>
    <xf numFmtId="0" fontId="15" fillId="19" borderId="31" xfId="10" applyNumberFormat="1" applyFont="1" applyFill="1" applyBorder="1">
      <alignment horizontal="center" vertical="center"/>
    </xf>
    <xf numFmtId="14" fontId="15" fillId="19" borderId="32" xfId="10" applyNumberFormat="1" applyFont="1" applyFill="1" applyBorder="1">
      <alignment horizontal="center" vertical="center"/>
    </xf>
    <xf numFmtId="0" fontId="15" fillId="17" borderId="21" xfId="11" applyFont="1" applyFill="1" applyBorder="1" applyAlignment="1">
      <alignment horizontal="left" vertical="center"/>
    </xf>
    <xf numFmtId="0" fontId="15" fillId="17" borderId="23" xfId="11" applyFont="1" applyFill="1" applyBorder="1" applyAlignment="1">
      <alignment horizontal="left" vertical="center"/>
    </xf>
    <xf numFmtId="0" fontId="15" fillId="3" borderId="7" xfId="12" applyFont="1" applyFill="1" applyBorder="1" applyAlignment="1">
      <alignment horizontal="left" vertical="center"/>
    </xf>
    <xf numFmtId="0" fontId="15" fillId="19" borderId="23" xfId="12" applyFont="1" applyFill="1" applyBorder="1" applyAlignment="1">
      <alignment horizontal="left" vertical="center" wrapText="1" indent="2"/>
    </xf>
    <xf numFmtId="0" fontId="15" fillId="19" borderId="30" xfId="12" applyFont="1" applyFill="1" applyBorder="1" applyAlignment="1">
      <alignment horizontal="left" vertical="center" wrapText="1" indent="2"/>
    </xf>
    <xf numFmtId="0" fontId="15" fillId="4" borderId="0" xfId="12" applyFont="1" applyFill="1" applyBorder="1" applyAlignment="1">
      <alignment horizontal="left" vertical="center"/>
    </xf>
    <xf numFmtId="0" fontId="4" fillId="0" borderId="10" xfId="0" applyFont="1" applyBorder="1" applyAlignment="1">
      <alignment horizontal="right" vertical="center"/>
    </xf>
    <xf numFmtId="0" fontId="9" fillId="18" borderId="39" xfId="0" applyFont="1" applyFill="1" applyBorder="1" applyAlignment="1">
      <alignment horizontal="center" vertical="center"/>
    </xf>
    <xf numFmtId="167" fontId="15" fillId="2" borderId="12" xfId="0" applyNumberFormat="1" applyFont="1" applyFill="1" applyBorder="1" applyAlignment="1">
      <alignment horizontal="center" vertical="center" wrapText="1"/>
    </xf>
    <xf numFmtId="167" fontId="15" fillId="2" borderId="18" xfId="0" applyNumberFormat="1" applyFont="1" applyFill="1" applyBorder="1" applyAlignment="1">
      <alignment horizontal="center" vertical="center" wrapText="1"/>
    </xf>
    <xf numFmtId="0" fontId="16" fillId="11" borderId="15" xfId="0" applyFont="1" applyFill="1" applyBorder="1" applyAlignment="1">
      <alignment horizontal="left" vertical="center" indent="1"/>
    </xf>
    <xf numFmtId="0" fontId="4" fillId="2" borderId="20" xfId="0" applyFont="1" applyFill="1" applyBorder="1" applyAlignment="1">
      <alignment horizontal="left" indent="1"/>
    </xf>
    <xf numFmtId="0" fontId="16" fillId="11" borderId="15" xfId="0" applyFont="1" applyFill="1" applyBorder="1" applyAlignment="1">
      <alignment vertical="center"/>
    </xf>
    <xf numFmtId="0" fontId="4" fillId="2" borderId="20" xfId="0" applyFont="1" applyFill="1" applyBorder="1"/>
    <xf numFmtId="0" fontId="16" fillId="11" borderId="15" xfId="0" applyFont="1" applyFill="1" applyBorder="1" applyAlignment="1">
      <alignment horizontal="center" vertical="center"/>
    </xf>
    <xf numFmtId="0" fontId="16" fillId="11" borderId="20" xfId="0" applyFont="1" applyFill="1" applyBorder="1" applyAlignment="1">
      <alignment horizontal="center" vertical="center"/>
    </xf>
    <xf numFmtId="0" fontId="22" fillId="0" borderId="0" xfId="8" applyFont="1" applyAlignment="1">
      <alignment horizontal="left"/>
    </xf>
    <xf numFmtId="0" fontId="4" fillId="0" borderId="0" xfId="0" applyFont="1"/>
    <xf numFmtId="14" fontId="23" fillId="0" borderId="0" xfId="9" applyNumberFormat="1" applyFont="1" applyBorder="1" applyAlignment="1">
      <alignment horizontal="left"/>
    </xf>
    <xf numFmtId="14" fontId="24" fillId="0" borderId="0" xfId="0" applyNumberFormat="1" applyFont="1"/>
    <xf numFmtId="0" fontId="23" fillId="0" borderId="0" xfId="0" applyFont="1" applyAlignment="1">
      <alignment horizontal="left"/>
    </xf>
    <xf numFmtId="0" fontId="24" fillId="0" borderId="0" xfId="0" applyFont="1"/>
    <xf numFmtId="167" fontId="15" fillId="2" borderId="17" xfId="0" applyNumberFormat="1" applyFont="1" applyFill="1" applyBorder="1" applyAlignment="1">
      <alignment horizontal="center" vertical="center" wrapText="1"/>
    </xf>
    <xf numFmtId="0" fontId="9" fillId="18" borderId="39" xfId="0" applyFont="1" applyFill="1" applyBorder="1" applyAlignment="1">
      <alignment horizontal="center" vertical="center"/>
    </xf>
    <xf numFmtId="0" fontId="27" fillId="0" borderId="36" xfId="0" applyFont="1" applyBorder="1" applyAlignment="1">
      <alignment horizontal="center"/>
    </xf>
    <xf numFmtId="0" fontId="27" fillId="0" borderId="37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0" fillId="0" borderId="40" xfId="0" applyFont="1" applyBorder="1" applyAlignment="1">
      <alignment wrapText="1"/>
    </xf>
    <xf numFmtId="0" fontId="0" fillId="20" borderId="40" xfId="0" applyFont="1" applyFill="1" applyBorder="1" applyAlignment="1">
      <alignment wrapText="1"/>
    </xf>
  </cellXfs>
  <cellStyles count="14">
    <cellStyle name="Date" xfId="10" xr:uid="{229918B6-DD13-4F5A-97B9-305F7E002AA3}"/>
    <cellStyle name="Encabezado 1" xfId="6" builtinId="16" customBuiltin="1"/>
    <cellStyle name="Hipervínculo" xfId="1" builtinId="8" customBuiltin="1"/>
    <cellStyle name="Millares" xfId="4" builtinId="3" customBuiltin="1"/>
    <cellStyle name="Moneda" xfId="13" builtinId="4"/>
    <cellStyle name="Name" xfId="11" xr:uid="{B2D3C1EE-6B41-4801-AAFC-C2274E49E503}"/>
    <cellStyle name="Normal" xfId="0" builtinId="0"/>
    <cellStyle name="Porcentaje" xfId="2" builtinId="5"/>
    <cellStyle name="Project Start" xfId="9" xr:uid="{8EB8A09A-C31C-40A3-B2C1-9449520178B8}"/>
    <cellStyle name="Task" xfId="12" xr:uid="{6391D789-272B-4DD2-9BF3-2CDCF610FA41}"/>
    <cellStyle name="Título" xfId="5" builtinId="15" customBuiltin="1"/>
    <cellStyle name="Título 2" xfId="7" builtinId="17" customBuiltin="1"/>
    <cellStyle name="Título 3" xfId="8" builtinId="18" customBuiltin="1"/>
    <cellStyle name="zHiddenText" xfId="3" xr:uid="{26E66EE6-E33F-4D77-BAE4-0FB4F5BBF673}"/>
  </cellStyles>
  <dxfs count="29">
    <dxf>
      <fill>
        <patternFill>
          <bgColor theme="8"/>
        </patternFill>
      </fill>
      <border>
        <left/>
        <right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theme="6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6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4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border>
        <left style="thin">
          <color theme="5"/>
        </left>
        <right style="thin">
          <color theme="5"/>
        </right>
        <vertical/>
        <horizontal/>
      </border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  <alignment horizontal="center" vertical="bottom" textRotation="0" wrapText="0" indent="0" justifyLastLine="0" shrinkToFit="0" readingOrder="0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secondRowStripe" dxfId="22"/>
      <tableStyleElement type="firstColumnStripe" dxfId="21"/>
      <tableStyleElement type="secondColumnStripe" dxfId="2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046895-9170-4AC6-8C65-BF0F2537217B}" name="Tabla3" displayName="Tabla3" ref="C2:F23" totalsRowShown="0" headerRowDxfId="19">
  <autoFilter ref="C2:F23" xr:uid="{7B046895-9170-4AC6-8C65-BF0F2537217B}">
    <filterColumn colId="0" hiddenButton="1"/>
    <filterColumn colId="1" hiddenButton="1"/>
    <filterColumn colId="2" hiddenButton="1"/>
    <filterColumn colId="3" hiddenButton="1"/>
  </autoFilter>
  <tableColumns count="4">
    <tableColumn id="1" xr3:uid="{677FC96E-7F25-4A06-87E3-922FDD41B915}" name="Tarea" dataDxfId="18"/>
    <tableColumn id="2" xr3:uid="{58277187-363E-428B-A83B-BC14DB987A6B}" name="Horas estimadas" dataDxfId="17"/>
    <tableColumn id="3" xr3:uid="{488EC91C-90C1-4FC4-A305-62832539CD69}" name="Horas reales" dataDxfId="16"/>
    <tableColumn id="4" xr3:uid="{C0DE1A19-3FEF-4849-899B-C98251D2724D}" name="Diferencia" dataDxfId="15">
      <calculatedColumnFormula>Tabla3[[#This Row],[Horas reales]]-Tabla3[[#This Row],[Horas estimadas]]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F3D52-80C0-4B06-A8B9-87A0541E228B}" name="Tabla1" displayName="Tabla1" ref="B2:G24" totalsRowCount="1">
  <autoFilter ref="B2:G23" xr:uid="{3C9F3D52-80C0-4B06-A8B9-87A0541E22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5ACA5F6-477D-42B6-B421-4AEE018B4E81}" name="Nombre" totalsRowLabel="Total" dataDxfId="14"/>
    <tableColumn id="2" xr3:uid="{CDC2B791-5EFB-4C87-AAD3-192DBB5C19D6}" name="Descripción" dataDxfId="13"/>
    <tableColumn id="3" xr3:uid="{95A5BD7C-444C-4C6D-BE74-E16B3FFFEE8E}" name="Cantidad"/>
    <tableColumn id="4" xr3:uid="{FF7F68A1-0DEA-4B69-8384-B1FE22AD9958}" name="Proveedor"/>
    <tableColumn id="5" xr3:uid="{63F8E491-A0B5-4A72-A3FF-8221530F268B}" name="Precio unitario" totalsRowLabel=" $ARS " dataDxfId="12" totalsRowDxfId="10"/>
    <tableColumn id="6" xr3:uid="{1E275AE4-1059-4BEF-B3F7-9BB27037631B}" name="Total" totalsRowFunction="sum" dataDxfId="11" totalsRowDxfId="9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C43A-364A-4B81-87AF-D7BC5A706127}">
  <sheetPr>
    <pageSetUpPr fitToPage="1"/>
  </sheetPr>
  <dimension ref="A1:BL36"/>
  <sheetViews>
    <sheetView showGridLines="0" showRuler="0" topLeftCell="A12" zoomScale="60" zoomScaleNormal="60" zoomScalePageLayoutView="70" workbookViewId="0">
      <selection activeCell="E15" sqref="E15"/>
    </sheetView>
  </sheetViews>
  <sheetFormatPr baseColWidth="10" defaultColWidth="8.58203125" defaultRowHeight="30" customHeight="1" x14ac:dyDescent="0.3"/>
  <cols>
    <col min="1" max="1" width="40.83203125" customWidth="1"/>
    <col min="2" max="2" width="16.58203125" customWidth="1"/>
    <col min="3" max="3" width="10.58203125" customWidth="1"/>
    <col min="4" max="5" width="10.58203125" style="2" customWidth="1"/>
    <col min="6" max="6" width="10.58203125" customWidth="1"/>
    <col min="7" max="7" width="2.58203125" customWidth="1"/>
    <col min="8" max="8" width="144.58203125" hidden="1" customWidth="1"/>
    <col min="9" max="9" width="2.83203125" bestFit="1" customWidth="1"/>
    <col min="10" max="10" width="2.58203125" bestFit="1" customWidth="1"/>
    <col min="11" max="18" width="2.83203125" bestFit="1" customWidth="1"/>
    <col min="19" max="19" width="3.08203125" bestFit="1" customWidth="1"/>
    <col min="20" max="20" width="2.83203125" bestFit="1" customWidth="1"/>
    <col min="21" max="29" width="3.08203125" bestFit="1" customWidth="1"/>
    <col min="30" max="30" width="2.83203125" bestFit="1" customWidth="1"/>
    <col min="31" max="32" width="2.33203125" bestFit="1" customWidth="1"/>
    <col min="33" max="37" width="2.08203125" bestFit="1" customWidth="1"/>
    <col min="38" max="39" width="2.33203125" bestFit="1" customWidth="1"/>
    <col min="40" max="40" width="2.83203125" bestFit="1" customWidth="1"/>
    <col min="41" max="41" width="2.58203125" bestFit="1" customWidth="1"/>
    <col min="42" max="49" width="2.83203125" bestFit="1" customWidth="1"/>
    <col min="50" max="50" width="3.08203125" bestFit="1" customWidth="1"/>
    <col min="51" max="51" width="2.83203125" bestFit="1" customWidth="1"/>
    <col min="52" max="60" width="3.08203125" bestFit="1" customWidth="1"/>
    <col min="61" max="61" width="1.83203125" bestFit="1" customWidth="1"/>
    <col min="62" max="63" width="2.08203125" bestFit="1" customWidth="1"/>
    <col min="64" max="64" width="3.08203125" bestFit="1" customWidth="1"/>
    <col min="65" max="65" width="2.58203125" customWidth="1"/>
  </cols>
  <sheetData>
    <row r="1" spans="1:64" ht="90" customHeight="1" x14ac:dyDescent="0.7">
      <c r="A1" s="70" t="s">
        <v>0</v>
      </c>
      <c r="B1" s="10"/>
      <c r="C1" s="11"/>
      <c r="D1" s="12"/>
      <c r="E1" s="12"/>
      <c r="F1" s="13"/>
      <c r="H1" s="1"/>
      <c r="I1" s="179" t="s">
        <v>1</v>
      </c>
      <c r="J1" s="180"/>
      <c r="K1" s="180"/>
      <c r="L1" s="180"/>
      <c r="M1" s="180"/>
      <c r="N1" s="180"/>
      <c r="O1" s="180"/>
      <c r="P1" s="16"/>
      <c r="Q1" s="181">
        <v>46244</v>
      </c>
      <c r="R1" s="182"/>
      <c r="S1" s="182"/>
      <c r="T1" s="182"/>
      <c r="U1" s="182"/>
      <c r="V1" s="182"/>
      <c r="W1" s="182"/>
      <c r="X1" s="182"/>
      <c r="Y1" s="182"/>
      <c r="Z1" s="182"/>
    </row>
    <row r="2" spans="1:64" ht="30" customHeight="1" x14ac:dyDescent="0.7">
      <c r="A2" s="71" t="s">
        <v>2</v>
      </c>
      <c r="B2" s="72" t="s">
        <v>3</v>
      </c>
      <c r="C2" s="14"/>
      <c r="D2" s="15"/>
      <c r="E2" s="15"/>
      <c r="F2" s="14"/>
      <c r="I2" s="179" t="s">
        <v>4</v>
      </c>
      <c r="J2" s="180"/>
      <c r="K2" s="180"/>
      <c r="L2" s="180"/>
      <c r="M2" s="180"/>
      <c r="N2" s="180"/>
      <c r="O2" s="180"/>
      <c r="P2" s="16"/>
      <c r="Q2" s="183">
        <v>2</v>
      </c>
      <c r="R2" s="184"/>
      <c r="S2" s="184"/>
      <c r="T2" s="184"/>
      <c r="U2" s="184"/>
      <c r="V2" s="184"/>
      <c r="W2" s="184"/>
      <c r="X2" s="184"/>
      <c r="Y2" s="184"/>
      <c r="Z2" s="184"/>
    </row>
    <row r="3" spans="1:64" s="18" customFormat="1" ht="30" customHeight="1" x14ac:dyDescent="0.3">
      <c r="A3" s="17"/>
      <c r="C3" s="19"/>
      <c r="D3" s="20"/>
      <c r="E3" s="20"/>
    </row>
    <row r="4" spans="1:64" s="18" customFormat="1" ht="30" customHeight="1" x14ac:dyDescent="0.3">
      <c r="A4" s="21"/>
      <c r="D4" s="22"/>
      <c r="E4" s="22"/>
      <c r="I4" s="185">
        <f>I5</f>
        <v>46251</v>
      </c>
      <c r="J4" s="171"/>
      <c r="K4" s="171"/>
      <c r="L4" s="171"/>
      <c r="M4" s="171"/>
      <c r="N4" s="171"/>
      <c r="O4" s="171"/>
      <c r="P4" s="171">
        <f>P5</f>
        <v>46258</v>
      </c>
      <c r="Q4" s="171"/>
      <c r="R4" s="171"/>
      <c r="S4" s="171"/>
      <c r="T4" s="171"/>
      <c r="U4" s="171"/>
      <c r="V4" s="171"/>
      <c r="W4" s="171">
        <f>W5</f>
        <v>46265</v>
      </c>
      <c r="X4" s="171"/>
      <c r="Y4" s="171"/>
      <c r="Z4" s="171"/>
      <c r="AA4" s="171"/>
      <c r="AB4" s="171"/>
      <c r="AC4" s="171"/>
      <c r="AD4" s="171">
        <f>AD5</f>
        <v>46272</v>
      </c>
      <c r="AE4" s="171"/>
      <c r="AF4" s="171"/>
      <c r="AG4" s="171"/>
      <c r="AH4" s="171"/>
      <c r="AI4" s="171"/>
      <c r="AJ4" s="171"/>
      <c r="AK4" s="171">
        <f>AK5</f>
        <v>46279</v>
      </c>
      <c r="AL4" s="171"/>
      <c r="AM4" s="171"/>
      <c r="AN4" s="171"/>
      <c r="AO4" s="171"/>
      <c r="AP4" s="171"/>
      <c r="AQ4" s="171"/>
      <c r="AR4" s="171">
        <f>AR5</f>
        <v>46286</v>
      </c>
      <c r="AS4" s="171"/>
      <c r="AT4" s="171"/>
      <c r="AU4" s="171"/>
      <c r="AV4" s="171"/>
      <c r="AW4" s="171"/>
      <c r="AX4" s="171"/>
      <c r="AY4" s="171">
        <f>AY5</f>
        <v>46293</v>
      </c>
      <c r="AZ4" s="171"/>
      <c r="BA4" s="171"/>
      <c r="BB4" s="171"/>
      <c r="BC4" s="171"/>
      <c r="BD4" s="171"/>
      <c r="BE4" s="171"/>
      <c r="BF4" s="171">
        <f>BF5</f>
        <v>46300</v>
      </c>
      <c r="BG4" s="171"/>
      <c r="BH4" s="171"/>
      <c r="BI4" s="171"/>
      <c r="BJ4" s="171"/>
      <c r="BK4" s="171"/>
      <c r="BL4" s="172"/>
    </row>
    <row r="5" spans="1:64" s="18" customFormat="1" ht="15" customHeight="1" x14ac:dyDescent="0.3">
      <c r="A5" s="173" t="s">
        <v>5</v>
      </c>
      <c r="B5" s="175" t="s">
        <v>6</v>
      </c>
      <c r="C5" s="177" t="s">
        <v>7</v>
      </c>
      <c r="D5" s="177" t="s">
        <v>8</v>
      </c>
      <c r="E5" s="177" t="s">
        <v>9</v>
      </c>
      <c r="F5" s="177" t="s">
        <v>10</v>
      </c>
      <c r="I5" s="23">
        <f>Project_Start-WEEKDAY(Project_Start,1)+2+7*(Display_Week-1)</f>
        <v>46251</v>
      </c>
      <c r="J5" s="23">
        <f>I5+1</f>
        <v>46252</v>
      </c>
      <c r="K5" s="23">
        <f t="shared" ref="K5:AX5" si="0">J5+1</f>
        <v>46253</v>
      </c>
      <c r="L5" s="23">
        <f t="shared" si="0"/>
        <v>46254</v>
      </c>
      <c r="M5" s="23">
        <f t="shared" si="0"/>
        <v>46255</v>
      </c>
      <c r="N5" s="23">
        <f t="shared" si="0"/>
        <v>46256</v>
      </c>
      <c r="O5" s="24">
        <f t="shared" si="0"/>
        <v>46257</v>
      </c>
      <c r="P5" s="25">
        <f>O5+1</f>
        <v>46258</v>
      </c>
      <c r="Q5" s="23">
        <f>P5+1</f>
        <v>46259</v>
      </c>
      <c r="R5" s="23">
        <f t="shared" si="0"/>
        <v>46260</v>
      </c>
      <c r="S5" s="23">
        <f t="shared" si="0"/>
        <v>46261</v>
      </c>
      <c r="T5" s="23">
        <f t="shared" si="0"/>
        <v>46262</v>
      </c>
      <c r="U5" s="23">
        <f t="shared" si="0"/>
        <v>46263</v>
      </c>
      <c r="V5" s="24">
        <f t="shared" si="0"/>
        <v>46264</v>
      </c>
      <c r="W5" s="25">
        <f>V5+1</f>
        <v>46265</v>
      </c>
      <c r="X5" s="23">
        <f>W5+1</f>
        <v>46266</v>
      </c>
      <c r="Y5" s="23">
        <f t="shared" si="0"/>
        <v>46267</v>
      </c>
      <c r="Z5" s="23">
        <f t="shared" si="0"/>
        <v>46268</v>
      </c>
      <c r="AA5" s="23">
        <f t="shared" si="0"/>
        <v>46269</v>
      </c>
      <c r="AB5" s="23">
        <f t="shared" si="0"/>
        <v>46270</v>
      </c>
      <c r="AC5" s="24">
        <f t="shared" si="0"/>
        <v>46271</v>
      </c>
      <c r="AD5" s="25">
        <f>AC5+1</f>
        <v>46272</v>
      </c>
      <c r="AE5" s="23">
        <f>AD5+1</f>
        <v>46273</v>
      </c>
      <c r="AF5" s="23">
        <f t="shared" si="0"/>
        <v>46274</v>
      </c>
      <c r="AG5" s="23">
        <f t="shared" si="0"/>
        <v>46275</v>
      </c>
      <c r="AH5" s="23">
        <f t="shared" si="0"/>
        <v>46276</v>
      </c>
      <c r="AI5" s="23">
        <f t="shared" si="0"/>
        <v>46277</v>
      </c>
      <c r="AJ5" s="24">
        <f t="shared" si="0"/>
        <v>46278</v>
      </c>
      <c r="AK5" s="25">
        <f>AJ5+1</f>
        <v>46279</v>
      </c>
      <c r="AL5" s="23">
        <f>AK5+1</f>
        <v>46280</v>
      </c>
      <c r="AM5" s="23">
        <f t="shared" si="0"/>
        <v>46281</v>
      </c>
      <c r="AN5" s="23">
        <f t="shared" si="0"/>
        <v>46282</v>
      </c>
      <c r="AO5" s="23">
        <f t="shared" si="0"/>
        <v>46283</v>
      </c>
      <c r="AP5" s="23">
        <f t="shared" si="0"/>
        <v>46284</v>
      </c>
      <c r="AQ5" s="24">
        <f t="shared" si="0"/>
        <v>46285</v>
      </c>
      <c r="AR5" s="25">
        <f>AQ5+1</f>
        <v>46286</v>
      </c>
      <c r="AS5" s="23">
        <f>AR5+1</f>
        <v>46287</v>
      </c>
      <c r="AT5" s="23">
        <f t="shared" si="0"/>
        <v>46288</v>
      </c>
      <c r="AU5" s="23">
        <f t="shared" si="0"/>
        <v>46289</v>
      </c>
      <c r="AV5" s="23">
        <f t="shared" si="0"/>
        <v>46290</v>
      </c>
      <c r="AW5" s="23">
        <f t="shared" si="0"/>
        <v>46291</v>
      </c>
      <c r="AX5" s="24">
        <f t="shared" si="0"/>
        <v>46292</v>
      </c>
      <c r="AY5" s="25">
        <f>AX5+1</f>
        <v>46293</v>
      </c>
      <c r="AZ5" s="23">
        <f>AY5+1</f>
        <v>46294</v>
      </c>
      <c r="BA5" s="23">
        <f t="shared" ref="BA5:BE5" si="1">AZ5+1</f>
        <v>46295</v>
      </c>
      <c r="BB5" s="23">
        <f t="shared" si="1"/>
        <v>46296</v>
      </c>
      <c r="BC5" s="23">
        <f t="shared" si="1"/>
        <v>46297</v>
      </c>
      <c r="BD5" s="23">
        <f t="shared" si="1"/>
        <v>46298</v>
      </c>
      <c r="BE5" s="24">
        <f t="shared" si="1"/>
        <v>46299</v>
      </c>
      <c r="BF5" s="25">
        <f>BE5+1</f>
        <v>46300</v>
      </c>
      <c r="BG5" s="23">
        <f>BF5+1</f>
        <v>46301</v>
      </c>
      <c r="BH5" s="23">
        <f t="shared" ref="BH5:BL5" si="2">BG5+1</f>
        <v>46302</v>
      </c>
      <c r="BI5" s="23">
        <f t="shared" si="2"/>
        <v>46303</v>
      </c>
      <c r="BJ5" s="23">
        <f t="shared" si="2"/>
        <v>46304</v>
      </c>
      <c r="BK5" s="23">
        <f t="shared" si="2"/>
        <v>46305</v>
      </c>
      <c r="BL5" s="23">
        <f t="shared" si="2"/>
        <v>46306</v>
      </c>
    </row>
    <row r="6" spans="1:64" s="18" customFormat="1" ht="15" customHeight="1" thickBot="1" x14ac:dyDescent="0.35">
      <c r="A6" s="174"/>
      <c r="B6" s="176"/>
      <c r="C6" s="176"/>
      <c r="D6" s="176"/>
      <c r="E6" s="178"/>
      <c r="F6" s="176"/>
      <c r="I6" s="26" t="str">
        <f t="shared" ref="I6:BL6" si="3">LEFT(TEXT(I5,"ddd"),1)</f>
        <v>l</v>
      </c>
      <c r="J6" s="27" t="str">
        <f t="shared" si="3"/>
        <v>m</v>
      </c>
      <c r="K6" s="27" t="str">
        <f t="shared" si="3"/>
        <v>m</v>
      </c>
      <c r="L6" s="27" t="str">
        <f t="shared" si="3"/>
        <v>j</v>
      </c>
      <c r="M6" s="27" t="str">
        <f t="shared" si="3"/>
        <v>v</v>
      </c>
      <c r="N6" s="27" t="str">
        <f t="shared" si="3"/>
        <v>s</v>
      </c>
      <c r="O6" s="27" t="str">
        <f t="shared" si="3"/>
        <v>d</v>
      </c>
      <c r="P6" s="27" t="str">
        <f t="shared" si="3"/>
        <v>l</v>
      </c>
      <c r="Q6" s="27" t="str">
        <f t="shared" si="3"/>
        <v>m</v>
      </c>
      <c r="R6" s="27" t="str">
        <f t="shared" si="3"/>
        <v>m</v>
      </c>
      <c r="S6" s="27" t="str">
        <f t="shared" si="3"/>
        <v>j</v>
      </c>
      <c r="T6" s="27" t="str">
        <f t="shared" si="3"/>
        <v>v</v>
      </c>
      <c r="U6" s="27" t="str">
        <f t="shared" si="3"/>
        <v>s</v>
      </c>
      <c r="V6" s="27" t="str">
        <f t="shared" si="3"/>
        <v>d</v>
      </c>
      <c r="W6" s="27" t="str">
        <f t="shared" si="3"/>
        <v>l</v>
      </c>
      <c r="X6" s="27" t="str">
        <f t="shared" si="3"/>
        <v>m</v>
      </c>
      <c r="Y6" s="27" t="str">
        <f t="shared" si="3"/>
        <v>m</v>
      </c>
      <c r="Z6" s="27" t="str">
        <f t="shared" si="3"/>
        <v>j</v>
      </c>
      <c r="AA6" s="27" t="str">
        <f t="shared" si="3"/>
        <v>v</v>
      </c>
      <c r="AB6" s="27" t="str">
        <f t="shared" si="3"/>
        <v>s</v>
      </c>
      <c r="AC6" s="27" t="str">
        <f t="shared" si="3"/>
        <v>d</v>
      </c>
      <c r="AD6" s="27" t="str">
        <f t="shared" si="3"/>
        <v>l</v>
      </c>
      <c r="AE6" s="27" t="str">
        <f t="shared" si="3"/>
        <v>m</v>
      </c>
      <c r="AF6" s="27" t="str">
        <f t="shared" si="3"/>
        <v>m</v>
      </c>
      <c r="AG6" s="27" t="str">
        <f t="shared" si="3"/>
        <v>j</v>
      </c>
      <c r="AH6" s="27" t="str">
        <f t="shared" si="3"/>
        <v>v</v>
      </c>
      <c r="AI6" s="27" t="str">
        <f t="shared" si="3"/>
        <v>s</v>
      </c>
      <c r="AJ6" s="27" t="str">
        <f t="shared" si="3"/>
        <v>d</v>
      </c>
      <c r="AK6" s="27" t="str">
        <f t="shared" si="3"/>
        <v>l</v>
      </c>
      <c r="AL6" s="27" t="str">
        <f t="shared" si="3"/>
        <v>m</v>
      </c>
      <c r="AM6" s="27" t="str">
        <f t="shared" si="3"/>
        <v>m</v>
      </c>
      <c r="AN6" s="27" t="str">
        <f t="shared" si="3"/>
        <v>j</v>
      </c>
      <c r="AO6" s="27" t="str">
        <f t="shared" si="3"/>
        <v>v</v>
      </c>
      <c r="AP6" s="27" t="str">
        <f t="shared" si="3"/>
        <v>s</v>
      </c>
      <c r="AQ6" s="27" t="str">
        <f t="shared" si="3"/>
        <v>d</v>
      </c>
      <c r="AR6" s="27" t="str">
        <f t="shared" si="3"/>
        <v>l</v>
      </c>
      <c r="AS6" s="27" t="str">
        <f t="shared" si="3"/>
        <v>m</v>
      </c>
      <c r="AT6" s="27" t="str">
        <f t="shared" si="3"/>
        <v>m</v>
      </c>
      <c r="AU6" s="27" t="str">
        <f t="shared" si="3"/>
        <v>j</v>
      </c>
      <c r="AV6" s="27" t="str">
        <f t="shared" si="3"/>
        <v>v</v>
      </c>
      <c r="AW6" s="27" t="str">
        <f t="shared" si="3"/>
        <v>s</v>
      </c>
      <c r="AX6" s="27" t="str">
        <f t="shared" si="3"/>
        <v>d</v>
      </c>
      <c r="AY6" s="27" t="str">
        <f t="shared" si="3"/>
        <v>l</v>
      </c>
      <c r="AZ6" s="27" t="str">
        <f t="shared" si="3"/>
        <v>m</v>
      </c>
      <c r="BA6" s="27" t="str">
        <f t="shared" si="3"/>
        <v>m</v>
      </c>
      <c r="BB6" s="27" t="str">
        <f t="shared" si="3"/>
        <v>j</v>
      </c>
      <c r="BC6" s="27" t="str">
        <f t="shared" si="3"/>
        <v>v</v>
      </c>
      <c r="BD6" s="27" t="str">
        <f t="shared" si="3"/>
        <v>s</v>
      </c>
      <c r="BE6" s="27" t="str">
        <f t="shared" si="3"/>
        <v>d</v>
      </c>
      <c r="BF6" s="27" t="str">
        <f t="shared" si="3"/>
        <v>l</v>
      </c>
      <c r="BG6" s="27" t="str">
        <f t="shared" si="3"/>
        <v>m</v>
      </c>
      <c r="BH6" s="27" t="str">
        <f t="shared" si="3"/>
        <v>m</v>
      </c>
      <c r="BI6" s="27" t="str">
        <f t="shared" si="3"/>
        <v>j</v>
      </c>
      <c r="BJ6" s="27" t="str">
        <f t="shared" si="3"/>
        <v>v</v>
      </c>
      <c r="BK6" s="27" t="str">
        <f t="shared" si="3"/>
        <v>s</v>
      </c>
      <c r="BL6" s="28" t="str">
        <f t="shared" si="3"/>
        <v>d</v>
      </c>
    </row>
    <row r="7" spans="1:64" s="18" customFormat="1" ht="30" hidden="1" customHeight="1" thickBot="1" x14ac:dyDescent="0.35">
      <c r="A7" s="29"/>
      <c r="B7" s="30"/>
      <c r="C7" s="29"/>
      <c r="D7" s="29"/>
      <c r="E7" s="29"/>
      <c r="F7" s="29"/>
      <c r="H7" s="18" t="str">
        <f>IF(OR(ISBLANK(task_start),ISBLANK(task_end)),"",task_end-task_start+1)</f>
        <v/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</row>
    <row r="8" spans="1:64" s="38" customFormat="1" ht="30" customHeight="1" thickBot="1" x14ac:dyDescent="0.35">
      <c r="A8" s="32" t="s">
        <v>11</v>
      </c>
      <c r="B8" s="33"/>
      <c r="C8" s="34"/>
      <c r="D8" s="35"/>
      <c r="E8" s="35"/>
      <c r="F8" s="36"/>
      <c r="G8" s="9"/>
      <c r="H8" s="5" t="str">
        <f t="shared" ref="H8:H33" si="4">IF(OR(ISBLANK(task_start),ISBLANK(task_end)),"",task_end-task_start+1)</f>
        <v/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</row>
    <row r="9" spans="1:64" s="38" customFormat="1" ht="14.5" thickBot="1" x14ac:dyDescent="0.35">
      <c r="A9" s="142" t="s">
        <v>12</v>
      </c>
      <c r="B9" s="39" t="s">
        <v>13</v>
      </c>
      <c r="C9" s="40">
        <v>1</v>
      </c>
      <c r="D9" s="73">
        <v>46244</v>
      </c>
      <c r="E9" s="87">
        <v>2</v>
      </c>
      <c r="F9" s="73">
        <f>D9+E9</f>
        <v>46246</v>
      </c>
      <c r="G9" s="9"/>
      <c r="H9" s="5">
        <f t="shared" si="4"/>
        <v>3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</row>
    <row r="10" spans="1:64" s="38" customFormat="1" ht="30" customHeight="1" thickBot="1" x14ac:dyDescent="0.35">
      <c r="A10" s="165" t="s">
        <v>14</v>
      </c>
      <c r="B10" s="42" t="s">
        <v>15</v>
      </c>
      <c r="C10" s="43">
        <v>0.6</v>
      </c>
      <c r="D10" s="74">
        <f>F9</f>
        <v>46246</v>
      </c>
      <c r="E10" s="88">
        <v>40</v>
      </c>
      <c r="F10" s="73">
        <f t="shared" ref="F10" si="5">D10+E10</f>
        <v>46286</v>
      </c>
      <c r="G10" s="9"/>
      <c r="H10" s="5">
        <f t="shared" si="4"/>
        <v>41</v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4"/>
      <c r="V10" s="44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</row>
    <row r="11" spans="1:64" s="38" customFormat="1" ht="30" customHeight="1" thickBot="1" x14ac:dyDescent="0.35">
      <c r="A11" s="45" t="s">
        <v>16</v>
      </c>
      <c r="B11" s="46"/>
      <c r="C11" s="47"/>
      <c r="D11" s="75"/>
      <c r="E11" s="91"/>
      <c r="F11" s="76"/>
      <c r="G11" s="9"/>
      <c r="H11" s="5" t="str">
        <f t="shared" si="4"/>
        <v/>
      </c>
    </row>
    <row r="12" spans="1:64" s="38" customFormat="1" ht="30" customHeight="1" thickBot="1" x14ac:dyDescent="0.35">
      <c r="A12" s="143" t="s">
        <v>17</v>
      </c>
      <c r="B12" s="48" t="s">
        <v>13</v>
      </c>
      <c r="C12" s="49">
        <v>0.5</v>
      </c>
      <c r="D12" s="77">
        <v>46266</v>
      </c>
      <c r="E12" s="89">
        <v>7</v>
      </c>
      <c r="F12" s="77">
        <f>D12+E12</f>
        <v>46273</v>
      </c>
      <c r="G12" s="9"/>
      <c r="H12" s="5">
        <f t="shared" si="4"/>
        <v>8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spans="1:64" s="38" customFormat="1" ht="30" customHeight="1" thickBot="1" x14ac:dyDescent="0.35">
      <c r="A13" s="143" t="s">
        <v>18</v>
      </c>
      <c r="B13" s="48" t="s">
        <v>19</v>
      </c>
      <c r="C13" s="49">
        <v>0.5</v>
      </c>
      <c r="D13" s="77">
        <v>46266</v>
      </c>
      <c r="E13" s="89">
        <v>40</v>
      </c>
      <c r="F13" s="77">
        <f>D13+E13</f>
        <v>46306</v>
      </c>
      <c r="G13" s="9"/>
      <c r="H13" s="5">
        <f t="shared" si="4"/>
        <v>41</v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4"/>
      <c r="V13" s="44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spans="1:64" s="38" customFormat="1" ht="30" customHeight="1" thickBot="1" x14ac:dyDescent="0.35">
      <c r="A14" s="168" t="s">
        <v>20</v>
      </c>
      <c r="B14" s="101" t="s">
        <v>13</v>
      </c>
      <c r="C14" s="102">
        <v>0</v>
      </c>
      <c r="D14" s="103">
        <v>46265</v>
      </c>
      <c r="E14" s="104">
        <v>14</v>
      </c>
      <c r="F14" s="77">
        <f>D14+E14</f>
        <v>46279</v>
      </c>
      <c r="G14" s="9"/>
      <c r="H14" s="5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169"/>
      <c r="V14" s="169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</row>
    <row r="15" spans="1:64" s="38" customFormat="1" ht="30" customHeight="1" thickBot="1" x14ac:dyDescent="0.35">
      <c r="A15" s="50" t="s">
        <v>21</v>
      </c>
      <c r="B15" s="51"/>
      <c r="C15" s="52"/>
      <c r="D15" s="78"/>
      <c r="E15" s="92"/>
      <c r="F15" s="79"/>
      <c r="G15" s="9"/>
      <c r="H15" s="5" t="str">
        <f t="shared" si="4"/>
        <v/>
      </c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</row>
    <row r="16" spans="1:64" s="38" customFormat="1" ht="30" customHeight="1" thickBot="1" x14ac:dyDescent="0.35">
      <c r="A16" s="54" t="s">
        <v>22</v>
      </c>
      <c r="B16" s="55" t="s">
        <v>15</v>
      </c>
      <c r="C16" s="56">
        <v>0</v>
      </c>
      <c r="D16" s="80">
        <v>46285</v>
      </c>
      <c r="E16" s="90">
        <v>14</v>
      </c>
      <c r="F16" s="80">
        <f>D16+E16</f>
        <v>46299</v>
      </c>
      <c r="G16" s="9"/>
      <c r="H16" s="5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spans="1:64" s="38" customFormat="1" ht="30" customHeight="1" thickBot="1" x14ac:dyDescent="0.35">
      <c r="A17" s="86" t="s">
        <v>23</v>
      </c>
      <c r="B17" s="83"/>
      <c r="C17" s="84"/>
      <c r="D17" s="85"/>
      <c r="E17" s="93"/>
      <c r="F17" s="85"/>
      <c r="G17" s="9"/>
      <c r="H17" s="5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</row>
    <row r="18" spans="1:64" s="38" customFormat="1" ht="30" customHeight="1" thickBot="1" x14ac:dyDescent="0.35">
      <c r="A18" s="110" t="s">
        <v>24</v>
      </c>
      <c r="B18" s="163" t="s">
        <v>13</v>
      </c>
      <c r="C18" s="111">
        <v>1</v>
      </c>
      <c r="D18" s="112">
        <v>46253</v>
      </c>
      <c r="E18" s="113">
        <v>5</v>
      </c>
      <c r="F18" s="112">
        <f>D18+E18</f>
        <v>46258</v>
      </c>
      <c r="G18" s="9"/>
      <c r="H18" s="5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</row>
    <row r="19" spans="1:64" s="38" customFormat="1" ht="30" customHeight="1" thickBot="1" x14ac:dyDescent="0.35">
      <c r="A19" s="114" t="s">
        <v>25</v>
      </c>
      <c r="B19" s="164" t="s">
        <v>13</v>
      </c>
      <c r="C19" s="115">
        <v>1</v>
      </c>
      <c r="D19" s="116">
        <v>46253</v>
      </c>
      <c r="E19" s="117">
        <v>5</v>
      </c>
      <c r="F19" s="112">
        <f t="shared" ref="F19:F20" si="6">D19+E19</f>
        <v>46258</v>
      </c>
      <c r="G19" s="9"/>
      <c r="H19" s="5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</row>
    <row r="20" spans="1:64" s="38" customFormat="1" ht="41.5" customHeight="1" thickBot="1" x14ac:dyDescent="0.35">
      <c r="A20" s="166" t="s">
        <v>26</v>
      </c>
      <c r="B20" s="152"/>
      <c r="C20" s="153">
        <v>1</v>
      </c>
      <c r="D20" s="154">
        <v>46293</v>
      </c>
      <c r="E20" s="155">
        <v>0</v>
      </c>
      <c r="F20" s="156">
        <f t="shared" si="6"/>
        <v>46293</v>
      </c>
      <c r="G20" s="9"/>
      <c r="H20" s="5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</row>
    <row r="21" spans="1:64" s="38" customFormat="1" ht="30" customHeight="1" thickBot="1" x14ac:dyDescent="0.35">
      <c r="A21" s="100" t="s">
        <v>27</v>
      </c>
      <c r="B21" s="95"/>
      <c r="C21" s="96"/>
      <c r="D21" s="97"/>
      <c r="E21" s="98"/>
      <c r="F21" s="97"/>
      <c r="G21" s="9"/>
      <c r="H21" s="5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</row>
    <row r="22" spans="1:64" s="38" customFormat="1" ht="30" customHeight="1" thickBot="1" x14ac:dyDescent="0.35">
      <c r="A22" s="118" t="s">
        <v>28</v>
      </c>
      <c r="B22" s="119" t="s">
        <v>15</v>
      </c>
      <c r="C22" s="120">
        <v>0</v>
      </c>
      <c r="D22" s="121">
        <v>46311</v>
      </c>
      <c r="E22" s="122">
        <v>2</v>
      </c>
      <c r="F22" s="123">
        <f>E22+D22</f>
        <v>46313</v>
      </c>
      <c r="G22" s="9"/>
      <c r="H22" s="5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</row>
    <row r="23" spans="1:64" s="38" customFormat="1" ht="30" customHeight="1" thickBot="1" x14ac:dyDescent="0.35">
      <c r="A23" s="118" t="s">
        <v>29</v>
      </c>
      <c r="B23" s="119" t="s">
        <v>15</v>
      </c>
      <c r="C23" s="120">
        <v>0</v>
      </c>
      <c r="D23" s="121">
        <v>46314</v>
      </c>
      <c r="E23" s="122">
        <v>3</v>
      </c>
      <c r="F23" s="123">
        <f t="shared" ref="F23:F24" si="7">E23+D23</f>
        <v>46317</v>
      </c>
      <c r="G23" s="9"/>
      <c r="H23" s="5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</row>
    <row r="24" spans="1:64" s="38" customFormat="1" ht="30" customHeight="1" thickBot="1" x14ac:dyDescent="0.35">
      <c r="A24" s="118" t="s">
        <v>30</v>
      </c>
      <c r="B24" s="119" t="s">
        <v>15</v>
      </c>
      <c r="C24" s="120">
        <v>0</v>
      </c>
      <c r="D24" s="121">
        <v>46318</v>
      </c>
      <c r="E24" s="122">
        <v>3</v>
      </c>
      <c r="F24" s="123">
        <f t="shared" si="7"/>
        <v>46321</v>
      </c>
      <c r="G24" s="9"/>
      <c r="H24" s="5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</row>
    <row r="25" spans="1:64" s="38" customFormat="1" ht="30" customHeight="1" thickBot="1" x14ac:dyDescent="0.35">
      <c r="A25" s="105" t="s">
        <v>31</v>
      </c>
      <c r="B25" s="106"/>
      <c r="C25" s="107"/>
      <c r="D25" s="108"/>
      <c r="E25" s="109"/>
      <c r="F25" s="108"/>
      <c r="G25" s="9"/>
      <c r="H25" s="5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</row>
    <row r="26" spans="1:64" s="38" customFormat="1" ht="38.15" customHeight="1" thickBot="1" x14ac:dyDescent="0.35">
      <c r="A26" s="167" t="s">
        <v>32</v>
      </c>
      <c r="B26" s="158"/>
      <c r="C26" s="159"/>
      <c r="D26" s="160">
        <v>46321</v>
      </c>
      <c r="E26" s="161">
        <v>0</v>
      </c>
      <c r="F26" s="162">
        <f>E26+D26</f>
        <v>46321</v>
      </c>
      <c r="G26" s="9"/>
      <c r="H26" s="5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</row>
    <row r="27" spans="1:64" s="38" customFormat="1" ht="30" customHeight="1" thickBot="1" x14ac:dyDescent="0.35">
      <c r="A27" s="124" t="s">
        <v>33</v>
      </c>
      <c r="B27" s="125" t="s">
        <v>19</v>
      </c>
      <c r="C27" s="126">
        <v>0</v>
      </c>
      <c r="D27" s="127">
        <v>46320</v>
      </c>
      <c r="E27" s="128">
        <v>15</v>
      </c>
      <c r="F27" s="129">
        <f>D27+E27</f>
        <v>46335</v>
      </c>
      <c r="G27" s="9"/>
      <c r="H27" s="5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</row>
    <row r="28" spans="1:64" s="38" customFormat="1" ht="30" customHeight="1" thickBot="1" x14ac:dyDescent="0.35">
      <c r="A28" s="99" t="s">
        <v>34</v>
      </c>
      <c r="B28" s="57"/>
      <c r="C28" s="58"/>
      <c r="D28" s="81"/>
      <c r="E28" s="94"/>
      <c r="F28" s="82"/>
      <c r="G28" s="9"/>
      <c r="H28" s="5" t="str">
        <f t="shared" si="4"/>
        <v/>
      </c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</row>
    <row r="29" spans="1:64" s="38" customFormat="1" ht="30" customHeight="1" thickBot="1" x14ac:dyDescent="0.35">
      <c r="A29" s="130" t="s">
        <v>35</v>
      </c>
      <c r="B29" s="131" t="s">
        <v>15</v>
      </c>
      <c r="C29" s="132">
        <v>0</v>
      </c>
      <c r="D29" s="133">
        <v>46336</v>
      </c>
      <c r="E29" s="134">
        <v>5</v>
      </c>
      <c r="F29" s="135">
        <f>D29+E29</f>
        <v>46341</v>
      </c>
      <c r="G29" s="9"/>
      <c r="H29" s="5">
        <f t="shared" si="4"/>
        <v>6</v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</row>
    <row r="30" spans="1:64" s="38" customFormat="1" ht="30" customHeight="1" thickBot="1" x14ac:dyDescent="0.35">
      <c r="A30" s="137" t="s">
        <v>36</v>
      </c>
      <c r="B30" s="138" t="s">
        <v>13</v>
      </c>
      <c r="C30" s="139">
        <v>0</v>
      </c>
      <c r="D30" s="140">
        <v>46336</v>
      </c>
      <c r="E30" s="136">
        <v>5</v>
      </c>
      <c r="F30" s="141">
        <f>D30+E30</f>
        <v>46341</v>
      </c>
      <c r="G30" s="9"/>
      <c r="H30" s="5">
        <f t="shared" si="4"/>
        <v>6</v>
      </c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</row>
    <row r="31" spans="1:64" s="38" customFormat="1" ht="30" customHeight="1" thickBot="1" x14ac:dyDescent="0.35">
      <c r="A31" s="157" t="s">
        <v>37</v>
      </c>
      <c r="B31" s="158"/>
      <c r="C31" s="159"/>
      <c r="D31" s="160">
        <v>46342</v>
      </c>
      <c r="E31" s="161">
        <v>0</v>
      </c>
      <c r="F31" s="162">
        <f>D31+E31</f>
        <v>46342</v>
      </c>
      <c r="G31" s="9"/>
      <c r="H31" s="5">
        <f t="shared" si="4"/>
        <v>1</v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</row>
    <row r="32" spans="1:64" s="38" customFormat="1" ht="30" customHeight="1" thickBot="1" x14ac:dyDescent="0.35">
      <c r="A32" s="60"/>
      <c r="B32" s="61"/>
      <c r="C32" s="62"/>
      <c r="D32" s="63"/>
      <c r="E32" s="63"/>
      <c r="F32" s="63"/>
      <c r="G32" s="9"/>
      <c r="H32" s="5" t="str">
        <f t="shared" si="4"/>
        <v/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</row>
    <row r="33" spans="1:64" s="38" customFormat="1" ht="30" customHeight="1" thickBot="1" x14ac:dyDescent="0.35">
      <c r="A33" s="64"/>
      <c r="B33" s="65"/>
      <c r="C33" s="66"/>
      <c r="D33" s="67"/>
      <c r="E33" s="67"/>
      <c r="F33" s="68"/>
      <c r="G33" s="9"/>
      <c r="H33" s="6" t="str">
        <f t="shared" si="4"/>
        <v/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</row>
    <row r="34" spans="1:64" ht="30" customHeight="1" x14ac:dyDescent="0.3">
      <c r="G34" s="3"/>
    </row>
    <row r="35" spans="1:64" ht="30" customHeight="1" x14ac:dyDescent="0.3">
      <c r="B35" s="8"/>
      <c r="F35" s="7"/>
    </row>
    <row r="36" spans="1:64" ht="30" customHeight="1" x14ac:dyDescent="0.3">
      <c r="B36" s="4"/>
    </row>
  </sheetData>
  <mergeCells count="18">
    <mergeCell ref="I1:O1"/>
    <mergeCell ref="Q1:Z1"/>
    <mergeCell ref="I2:O2"/>
    <mergeCell ref="Q2:Z2"/>
    <mergeCell ref="I4:O4"/>
    <mergeCell ref="P4:V4"/>
    <mergeCell ref="W4:AC4"/>
    <mergeCell ref="AY4:BE4"/>
    <mergeCell ref="BF4:BL4"/>
    <mergeCell ref="A5:A6"/>
    <mergeCell ref="B5:B6"/>
    <mergeCell ref="C5:C6"/>
    <mergeCell ref="D5:D6"/>
    <mergeCell ref="E5:E6"/>
    <mergeCell ref="F5:F6"/>
    <mergeCell ref="AD4:AJ4"/>
    <mergeCell ref="AK4:AQ4"/>
    <mergeCell ref="AR4:AX4"/>
  </mergeCells>
  <conditionalFormatting sqref="C7:C33">
    <cfRule type="dataBar" priority="8">
      <dataBar>
        <cfvo type="num" val="0"/>
        <cfvo type="num" val="1"/>
        <color theme="0"/>
      </dataBar>
      <extLst>
        <ext xmlns:x14="http://schemas.microsoft.com/office/spreadsheetml/2009/9/main" uri="{B025F937-C7B1-47D3-B67F-A62EFF666E3E}">
          <x14:id>{6E2D1C85-F5E9-42EC-85F2-12DBE34C64CC}</x14:id>
        </ext>
      </extLst>
    </cfRule>
  </conditionalFormatting>
  <conditionalFormatting sqref="I4:BL19 I20:AC20 AE20:BL20 I21:BL31">
    <cfRule type="expression" dxfId="8" priority="1">
      <formula>AND(TODAY()&gt;=I$5, TODAY()&lt;J$5)</formula>
    </cfRule>
  </conditionalFormatting>
  <conditionalFormatting sqref="I9:BL10">
    <cfRule type="expression" dxfId="7" priority="6">
      <formula>AND(task_start&lt;=I$5,ROUNDDOWN((task_end-task_start+1)*task_progress,0)+task_start-1&gt;=I$5)</formula>
    </cfRule>
    <cfRule type="expression" dxfId="6" priority="7" stopIfTrue="1">
      <formula>AND(task_end&gt;=I$5,task_start&lt;J$5)</formula>
    </cfRule>
  </conditionalFormatting>
  <conditionalFormatting sqref="I12:BL14">
    <cfRule type="expression" dxfId="5" priority="4">
      <formula>AND(task_start&lt;=I$5,ROUNDDOWN((task_end-task_start+1)*task_progress,0)+task_start-1&gt;=I$5)</formula>
    </cfRule>
    <cfRule type="expression" dxfId="4" priority="5" stopIfTrue="1">
      <formula>AND(task_end&gt;=I$5,task_start&lt;J$5)</formula>
    </cfRule>
  </conditionalFormatting>
  <conditionalFormatting sqref="I16:BL19 I20:AC20 AE20:BL20 I21:BL27">
    <cfRule type="expression" dxfId="3" priority="2">
      <formula>AND(task_start&lt;=I$5,ROUNDDOWN((task_end-task_start+1)*task_progress,0)+task_start-1&gt;=I$5)</formula>
    </cfRule>
    <cfRule type="expression" dxfId="2" priority="3" stopIfTrue="1">
      <formula>AND(task_end&gt;=I$5,task_start&lt;J$5)</formula>
    </cfRule>
  </conditionalFormatting>
  <conditionalFormatting sqref="I29:BL31">
    <cfRule type="expression" dxfId="1" priority="9">
      <formula>AND(task_start&lt;=I$5,ROUNDDOWN((task_end-task_start+1)*task_progress,0)+task_start-1&gt;=I$5)</formula>
    </cfRule>
    <cfRule type="expression" dxfId="0" priority="10" stopIfTrue="1">
      <formula>AND(task_end&gt;=I$5,task_start&lt;J$5)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Q2" xr:uid="{5055D4DC-4AC9-4908-8988-4E07AB8DE9B0}">
      <formula1>1</formula1>
    </dataValidation>
  </dataValidations>
  <printOptions horizontalCentered="1"/>
  <pageMargins left="0.35" right="0.35" top="0.35" bottom="0.5" header="0.3" footer="0.3"/>
  <pageSetup scale="46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2D1C85-F5E9-42EC-85F2-12DBE34C64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C7:C33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106D-CE0C-406B-A9E6-CF888DB987BB}">
  <dimension ref="B2:F23"/>
  <sheetViews>
    <sheetView showGridLines="0" workbookViewId="0">
      <selection activeCell="E7" sqref="E7"/>
    </sheetView>
  </sheetViews>
  <sheetFormatPr baseColWidth="10" defaultColWidth="8.58203125" defaultRowHeight="14" x14ac:dyDescent="0.3"/>
  <cols>
    <col min="1" max="1" width="0.83203125" customWidth="1"/>
    <col min="2" max="2" width="14.08203125" bestFit="1" customWidth="1"/>
    <col min="3" max="3" width="38.08203125" customWidth="1"/>
    <col min="4" max="4" width="15" bestFit="1" customWidth="1"/>
    <col min="5" max="5" width="11.33203125" bestFit="1" customWidth="1"/>
    <col min="6" max="6" width="9.25" bestFit="1" customWidth="1"/>
  </cols>
  <sheetData>
    <row r="2" spans="2:6" x14ac:dyDescent="0.3">
      <c r="B2" s="170" t="s">
        <v>38</v>
      </c>
      <c r="C2" s="150" t="s">
        <v>39</v>
      </c>
      <c r="D2" s="150" t="s">
        <v>40</v>
      </c>
      <c r="E2" s="150" t="s">
        <v>41</v>
      </c>
      <c r="F2" s="150" t="s">
        <v>42</v>
      </c>
    </row>
    <row r="3" spans="2:6" ht="43.5" customHeight="1" x14ac:dyDescent="0.3">
      <c r="B3" s="186" t="s">
        <v>43</v>
      </c>
      <c r="C3" s="151" t="s">
        <v>44</v>
      </c>
      <c r="D3" s="149"/>
      <c r="E3" s="149"/>
      <c r="F3" s="149">
        <f>Tabla3[[#This Row],[Horas reales]]-Tabla3[[#This Row],[Horas estimadas]]</f>
        <v>0</v>
      </c>
    </row>
    <row r="4" spans="2:6" x14ac:dyDescent="0.3">
      <c r="B4" s="186"/>
      <c r="C4" s="149" t="s">
        <v>45</v>
      </c>
      <c r="D4" s="149"/>
      <c r="E4" s="149"/>
      <c r="F4" s="149">
        <f>Tabla3[[#This Row],[Horas reales]]-Tabla3[[#This Row],[Horas estimadas]]</f>
        <v>0</v>
      </c>
    </row>
    <row r="5" spans="2:6" x14ac:dyDescent="0.3">
      <c r="B5" s="186"/>
      <c r="C5" s="149" t="s">
        <v>46</v>
      </c>
      <c r="D5" s="149"/>
      <c r="E5" s="149"/>
      <c r="F5" s="149">
        <f>Tabla3[[#This Row],[Horas reales]]-Tabla3[[#This Row],[Horas estimadas]]</f>
        <v>0</v>
      </c>
    </row>
    <row r="6" spans="2:6" x14ac:dyDescent="0.3">
      <c r="B6" s="186"/>
      <c r="C6" s="149" t="s">
        <v>47</v>
      </c>
      <c r="D6" s="149"/>
      <c r="E6" s="149"/>
      <c r="F6" s="149">
        <f>Tabla3[[#This Row],[Horas reales]]-Tabla3[[#This Row],[Horas estimadas]]</f>
        <v>0</v>
      </c>
    </row>
    <row r="7" spans="2:6" x14ac:dyDescent="0.3">
      <c r="B7" s="186"/>
      <c r="C7" s="149"/>
      <c r="D7" s="149"/>
      <c r="E7" s="149"/>
      <c r="F7" s="149">
        <f>Tabla3[[#This Row],[Horas reales]]-Tabla3[[#This Row],[Horas estimadas]]</f>
        <v>0</v>
      </c>
    </row>
    <row r="8" spans="2:6" x14ac:dyDescent="0.3">
      <c r="B8" s="186"/>
      <c r="C8" s="149"/>
      <c r="D8" s="149"/>
      <c r="E8" s="149"/>
      <c r="F8" s="149">
        <f>Tabla3[[#This Row],[Horas reales]]-Tabla3[[#This Row],[Horas estimadas]]</f>
        <v>0</v>
      </c>
    </row>
    <row r="9" spans="2:6" x14ac:dyDescent="0.3">
      <c r="B9" s="186"/>
      <c r="C9" s="149"/>
      <c r="D9" s="149"/>
      <c r="E9" s="149"/>
      <c r="F9" s="149">
        <f>Tabla3[[#This Row],[Horas reales]]-Tabla3[[#This Row],[Horas estimadas]]</f>
        <v>0</v>
      </c>
    </row>
    <row r="10" spans="2:6" x14ac:dyDescent="0.3">
      <c r="B10" s="186"/>
      <c r="C10" s="149"/>
      <c r="D10" s="149"/>
      <c r="E10" s="149"/>
      <c r="F10" s="149">
        <f>Tabla3[[#This Row],[Horas reales]]-Tabla3[[#This Row],[Horas estimadas]]</f>
        <v>0</v>
      </c>
    </row>
    <row r="11" spans="2:6" x14ac:dyDescent="0.3">
      <c r="B11" s="186"/>
      <c r="C11" s="149"/>
      <c r="D11" s="149"/>
      <c r="E11" s="149"/>
      <c r="F11" s="149">
        <f>Tabla3[[#This Row],[Horas reales]]-Tabla3[[#This Row],[Horas estimadas]]</f>
        <v>0</v>
      </c>
    </row>
    <row r="12" spans="2:6" x14ac:dyDescent="0.3">
      <c r="B12" s="186"/>
      <c r="C12" s="149"/>
      <c r="D12" s="149"/>
      <c r="E12" s="149"/>
      <c r="F12" s="149">
        <f>Tabla3[[#This Row],[Horas reales]]-Tabla3[[#This Row],[Horas estimadas]]</f>
        <v>0</v>
      </c>
    </row>
    <row r="13" spans="2:6" x14ac:dyDescent="0.3">
      <c r="B13" s="186" t="s">
        <v>48</v>
      </c>
      <c r="C13" s="149"/>
      <c r="D13" s="149"/>
      <c r="E13" s="149"/>
      <c r="F13" s="149">
        <f>Tabla3[[#This Row],[Horas reales]]-Tabla3[[#This Row],[Horas estimadas]]</f>
        <v>0</v>
      </c>
    </row>
    <row r="14" spans="2:6" x14ac:dyDescent="0.3">
      <c r="B14" s="186"/>
      <c r="C14" s="149"/>
      <c r="D14" s="149"/>
      <c r="E14" s="149"/>
      <c r="F14" s="149">
        <f>Tabla3[[#This Row],[Horas reales]]-Tabla3[[#This Row],[Horas estimadas]]</f>
        <v>0</v>
      </c>
    </row>
    <row r="15" spans="2:6" x14ac:dyDescent="0.3">
      <c r="B15" s="186"/>
      <c r="C15" s="149"/>
      <c r="D15" s="149"/>
      <c r="E15" s="149"/>
      <c r="F15" s="149">
        <f>Tabla3[[#This Row],[Horas reales]]-Tabla3[[#This Row],[Horas estimadas]]</f>
        <v>0</v>
      </c>
    </row>
    <row r="16" spans="2:6" x14ac:dyDescent="0.3">
      <c r="B16" s="186"/>
      <c r="C16" s="149"/>
      <c r="D16" s="149"/>
      <c r="E16" s="149"/>
      <c r="F16" s="149">
        <f>Tabla3[[#This Row],[Horas reales]]-Tabla3[[#This Row],[Horas estimadas]]</f>
        <v>0</v>
      </c>
    </row>
    <row r="17" spans="2:6" x14ac:dyDescent="0.3">
      <c r="B17" s="186"/>
      <c r="C17" s="149"/>
      <c r="D17" s="149"/>
      <c r="E17" s="149"/>
      <c r="F17" s="149">
        <f>Tabla3[[#This Row],[Horas reales]]-Tabla3[[#This Row],[Horas estimadas]]</f>
        <v>0</v>
      </c>
    </row>
    <row r="18" spans="2:6" x14ac:dyDescent="0.3">
      <c r="B18" s="186"/>
      <c r="C18" s="149"/>
      <c r="D18" s="149"/>
      <c r="E18" s="149"/>
      <c r="F18" s="149">
        <f>Tabla3[[#This Row],[Horas reales]]-Tabla3[[#This Row],[Horas estimadas]]</f>
        <v>0</v>
      </c>
    </row>
    <row r="19" spans="2:6" x14ac:dyDescent="0.3">
      <c r="B19" s="186"/>
      <c r="C19" s="149"/>
      <c r="D19" s="149"/>
      <c r="E19" s="149"/>
      <c r="F19" s="149">
        <f>Tabla3[[#This Row],[Horas reales]]-Tabla3[[#This Row],[Horas estimadas]]</f>
        <v>0</v>
      </c>
    </row>
    <row r="20" spans="2:6" x14ac:dyDescent="0.3">
      <c r="B20" s="186"/>
      <c r="C20" s="149"/>
      <c r="D20" s="149"/>
      <c r="E20" s="149"/>
      <c r="F20" s="149">
        <f>Tabla3[[#This Row],[Horas reales]]-Tabla3[[#This Row],[Horas estimadas]]</f>
        <v>0</v>
      </c>
    </row>
    <row r="21" spans="2:6" x14ac:dyDescent="0.3">
      <c r="B21" s="186"/>
      <c r="C21" s="149"/>
      <c r="D21" s="149"/>
      <c r="E21" s="149"/>
      <c r="F21" s="149">
        <f>Tabla3[[#This Row],[Horas reales]]-Tabla3[[#This Row],[Horas estimadas]]</f>
        <v>0</v>
      </c>
    </row>
    <row r="22" spans="2:6" x14ac:dyDescent="0.3">
      <c r="B22" s="186"/>
      <c r="C22" s="149"/>
      <c r="D22" s="149"/>
      <c r="E22" s="149"/>
      <c r="F22" s="149">
        <f>Tabla3[[#This Row],[Horas reales]]-Tabla3[[#This Row],[Horas estimadas]]</f>
        <v>0</v>
      </c>
    </row>
    <row r="23" spans="2:6" x14ac:dyDescent="0.3">
      <c r="B23" s="186"/>
      <c r="C23" s="149"/>
      <c r="D23" s="149"/>
      <c r="E23" s="149"/>
      <c r="F23" s="149">
        <f>Tabla3[[#This Row],[Horas reales]]-Tabla3[[#This Row],[Horas estimadas]]</f>
        <v>0</v>
      </c>
    </row>
  </sheetData>
  <mergeCells count="2">
    <mergeCell ref="B3:B12"/>
    <mergeCell ref="B13:B2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E6D8-4B0B-45BD-9DB3-B10C6A0F9C7A}">
  <dimension ref="B1:Q32"/>
  <sheetViews>
    <sheetView tabSelected="1" zoomScale="90" zoomScaleNormal="90" workbookViewId="0">
      <selection activeCell="G25" sqref="B1:G25"/>
    </sheetView>
  </sheetViews>
  <sheetFormatPr baseColWidth="10" defaultColWidth="8.58203125" defaultRowHeight="14" x14ac:dyDescent="0.3"/>
  <cols>
    <col min="2" max="2" width="20.58203125" customWidth="1"/>
    <col min="3" max="3" width="22.25" customWidth="1"/>
    <col min="4" max="4" width="8.33203125" bestFit="1" customWidth="1"/>
    <col min="5" max="5" width="12.33203125" bestFit="1" customWidth="1"/>
    <col min="6" max="6" width="13" bestFit="1" customWidth="1"/>
    <col min="7" max="7" width="9.75" bestFit="1" customWidth="1"/>
  </cols>
  <sheetData>
    <row r="1" spans="2:17" x14ac:dyDescent="0.3">
      <c r="B1" s="187" t="s">
        <v>49</v>
      </c>
      <c r="C1" s="188"/>
      <c r="D1" s="188"/>
      <c r="E1" s="188"/>
      <c r="F1" s="188"/>
      <c r="G1" s="189"/>
    </row>
    <row r="2" spans="2:17" x14ac:dyDescent="0.3"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</row>
    <row r="3" spans="2:17" x14ac:dyDescent="0.3">
      <c r="B3" s="145" t="s">
        <v>56</v>
      </c>
      <c r="C3" s="145" t="s">
        <v>57</v>
      </c>
      <c r="D3">
        <v>1</v>
      </c>
      <c r="E3" t="s">
        <v>58</v>
      </c>
      <c r="F3" s="144">
        <v>13000</v>
      </c>
      <c r="G3" s="144">
        <f>Tabla1[[#This Row],[Precio unitario]]*Tabla1[[#This Row],[Cantidad]]</f>
        <v>13000</v>
      </c>
    </row>
    <row r="4" spans="2:17" x14ac:dyDescent="0.3">
      <c r="B4" s="145" t="s">
        <v>89</v>
      </c>
      <c r="C4" s="145" t="s">
        <v>57</v>
      </c>
      <c r="D4">
        <v>1</v>
      </c>
      <c r="E4" t="s">
        <v>58</v>
      </c>
      <c r="F4" s="144">
        <v>13000</v>
      </c>
      <c r="G4" s="144">
        <v>13000</v>
      </c>
    </row>
    <row r="5" spans="2:17" x14ac:dyDescent="0.3">
      <c r="B5" s="145" t="s">
        <v>90</v>
      </c>
      <c r="C5" s="191" t="s">
        <v>59</v>
      </c>
      <c r="D5">
        <v>2</v>
      </c>
      <c r="E5" t="s">
        <v>58</v>
      </c>
      <c r="F5" s="144">
        <v>40000</v>
      </c>
      <c r="G5" s="144">
        <f>Tabla1[[#This Row],[Precio unitario]]*Tabla1[[#This Row],[Cantidad]]</f>
        <v>80000</v>
      </c>
    </row>
    <row r="6" spans="2:17" x14ac:dyDescent="0.3">
      <c r="B6" s="145" t="s">
        <v>96</v>
      </c>
      <c r="C6" s="145" t="s">
        <v>97</v>
      </c>
      <c r="D6">
        <v>1</v>
      </c>
      <c r="E6" t="s">
        <v>58</v>
      </c>
      <c r="F6" s="144">
        <v>5000</v>
      </c>
      <c r="G6" s="144">
        <v>5000</v>
      </c>
    </row>
    <row r="7" spans="2:17" x14ac:dyDescent="0.3">
      <c r="B7" s="145" t="s">
        <v>60</v>
      </c>
      <c r="C7" s="145" t="s">
        <v>61</v>
      </c>
      <c r="D7">
        <v>2</v>
      </c>
      <c r="E7" t="s">
        <v>58</v>
      </c>
      <c r="F7" s="144">
        <v>5500</v>
      </c>
      <c r="G7" s="144">
        <f>Tabla1[[#This Row],[Precio unitario]]*Tabla1[[#This Row],[Cantidad]]</f>
        <v>11000</v>
      </c>
    </row>
    <row r="8" spans="2:17" ht="28" x14ac:dyDescent="0.3">
      <c r="B8" s="145" t="s">
        <v>62</v>
      </c>
      <c r="C8" s="145" t="s">
        <v>63</v>
      </c>
      <c r="D8">
        <v>1</v>
      </c>
      <c r="E8" t="s">
        <v>58</v>
      </c>
      <c r="F8" s="144">
        <v>6000</v>
      </c>
      <c r="G8" s="144">
        <f>Tabla1[[#This Row],[Precio unitario]]*Tabla1[[#This Row],[Cantidad]]</f>
        <v>6000</v>
      </c>
    </row>
    <row r="9" spans="2:17" ht="14.5" thickBot="1" x14ac:dyDescent="0.35">
      <c r="B9" s="145" t="s">
        <v>64</v>
      </c>
      <c r="C9" s="145" t="s">
        <v>65</v>
      </c>
      <c r="D9">
        <v>2</v>
      </c>
      <c r="E9" t="s">
        <v>58</v>
      </c>
      <c r="F9" s="144">
        <v>3000</v>
      </c>
      <c r="G9" s="144">
        <f>Tabla1[[#This Row],[Precio unitario]]*Tabla1[[#This Row],[Cantidad]]</f>
        <v>6000</v>
      </c>
    </row>
    <row r="10" spans="2:17" ht="14.5" thickBot="1" x14ac:dyDescent="0.35">
      <c r="B10" s="145" t="s">
        <v>92</v>
      </c>
      <c r="C10" s="145" t="s">
        <v>93</v>
      </c>
      <c r="D10">
        <v>1</v>
      </c>
      <c r="E10" t="s">
        <v>58</v>
      </c>
      <c r="F10" s="144">
        <v>13000</v>
      </c>
      <c r="G10" s="144">
        <f>Tabla1[[#This Row],[Precio unitario]]*Tabla1[[#This Row],[Cantidad]]</f>
        <v>13000</v>
      </c>
      <c r="L10" s="187"/>
      <c r="M10" s="188"/>
      <c r="N10" s="188"/>
      <c r="O10" s="188"/>
      <c r="P10" s="188"/>
      <c r="Q10" s="189"/>
    </row>
    <row r="11" spans="2:17" x14ac:dyDescent="0.3">
      <c r="B11" s="145" t="s">
        <v>95</v>
      </c>
      <c r="C11" s="145" t="s">
        <v>94</v>
      </c>
      <c r="D11">
        <v>1</v>
      </c>
      <c r="E11" t="s">
        <v>58</v>
      </c>
      <c r="F11" s="144">
        <v>6000</v>
      </c>
      <c r="G11" s="144">
        <f>Tabla1[[#This Row],[Precio unitario]]*Tabla1[[#This Row],[Cantidad]]</f>
        <v>6000</v>
      </c>
    </row>
    <row r="12" spans="2:17" ht="28" x14ac:dyDescent="0.3">
      <c r="B12" s="145" t="s">
        <v>67</v>
      </c>
      <c r="C12" s="190" t="s">
        <v>66</v>
      </c>
      <c r="D12">
        <v>3</v>
      </c>
      <c r="E12" t="s">
        <v>58</v>
      </c>
      <c r="F12" s="144">
        <v>11000</v>
      </c>
      <c r="G12" s="144">
        <f>Tabla1[[#This Row],[Precio unitario]]*Tabla1[[#This Row],[Cantidad]]</f>
        <v>33000</v>
      </c>
      <c r="L12" s="145"/>
      <c r="M12" s="145"/>
      <c r="P12" s="144"/>
      <c r="Q12" s="144"/>
    </row>
    <row r="13" spans="2:17" ht="28" x14ac:dyDescent="0.3">
      <c r="B13" s="145" t="s">
        <v>69</v>
      </c>
      <c r="C13" s="191" t="s">
        <v>68</v>
      </c>
      <c r="D13">
        <v>1</v>
      </c>
      <c r="E13" t="s">
        <v>58</v>
      </c>
      <c r="F13" s="144">
        <v>5000</v>
      </c>
      <c r="G13" s="144">
        <f>Tabla1[[#This Row],[Precio unitario]]*Tabla1[[#This Row],[Cantidad]]</f>
        <v>5000</v>
      </c>
      <c r="L13" s="145"/>
      <c r="M13" s="145"/>
      <c r="P13" s="144"/>
      <c r="Q13" s="144"/>
    </row>
    <row r="14" spans="2:17" ht="28" x14ac:dyDescent="0.3">
      <c r="B14" s="145" t="s">
        <v>71</v>
      </c>
      <c r="C14" s="190" t="s">
        <v>70</v>
      </c>
      <c r="D14">
        <v>1</v>
      </c>
      <c r="E14" t="s">
        <v>58</v>
      </c>
      <c r="F14" s="144">
        <v>5000</v>
      </c>
      <c r="G14" s="144">
        <f>Tabla1[[#This Row],[Precio unitario]]*Tabla1[[#This Row],[Cantidad]]</f>
        <v>5000</v>
      </c>
      <c r="L14" s="145"/>
      <c r="M14" s="145"/>
      <c r="P14" s="144"/>
      <c r="Q14" s="144"/>
    </row>
    <row r="15" spans="2:17" ht="28" x14ac:dyDescent="0.3">
      <c r="B15" s="145" t="s">
        <v>73</v>
      </c>
      <c r="C15" s="191" t="s">
        <v>72</v>
      </c>
      <c r="D15">
        <v>3</v>
      </c>
      <c r="E15" t="s">
        <v>58</v>
      </c>
      <c r="F15" s="144">
        <v>2300</v>
      </c>
      <c r="G15" s="144">
        <f>Tabla1[[#This Row],[Precio unitario]]*Tabla1[[#This Row],[Cantidad]]</f>
        <v>6900</v>
      </c>
      <c r="L15" s="145"/>
      <c r="M15" s="145"/>
      <c r="P15" s="144"/>
      <c r="Q15" s="144"/>
    </row>
    <row r="16" spans="2:17" x14ac:dyDescent="0.3">
      <c r="B16" s="145" t="s">
        <v>75</v>
      </c>
      <c r="C16" s="190" t="s">
        <v>74</v>
      </c>
      <c r="D16">
        <v>1</v>
      </c>
      <c r="E16" t="s">
        <v>58</v>
      </c>
      <c r="F16" s="144">
        <v>5000</v>
      </c>
      <c r="G16" s="144">
        <f>Tabla1[[#This Row],[Precio unitario]]*Tabla1[[#This Row],[Cantidad]]</f>
        <v>5000</v>
      </c>
      <c r="L16" s="145"/>
      <c r="M16" s="145"/>
      <c r="P16" s="144"/>
      <c r="Q16" s="144"/>
    </row>
    <row r="17" spans="2:17" x14ac:dyDescent="0.3">
      <c r="B17" s="145" t="s">
        <v>76</v>
      </c>
      <c r="C17" s="145" t="s">
        <v>77</v>
      </c>
      <c r="D17">
        <v>5</v>
      </c>
      <c r="E17" t="s">
        <v>58</v>
      </c>
      <c r="F17" s="144">
        <v>2000</v>
      </c>
      <c r="G17" s="144">
        <f>Tabla1[[#This Row],[Precio unitario]]*Tabla1[[#This Row],[Cantidad]]</f>
        <v>10000</v>
      </c>
      <c r="L17" s="145"/>
      <c r="M17" s="145"/>
      <c r="P17" s="144"/>
      <c r="Q17" s="144"/>
    </row>
    <row r="18" spans="2:17" ht="28" x14ac:dyDescent="0.3">
      <c r="B18" s="145" t="s">
        <v>78</v>
      </c>
      <c r="C18" s="145" t="s">
        <v>79</v>
      </c>
      <c r="D18">
        <v>1</v>
      </c>
      <c r="E18" t="s">
        <v>58</v>
      </c>
      <c r="F18" s="144">
        <v>3000</v>
      </c>
      <c r="G18" s="144">
        <f>Tabla1[[#This Row],[Precio unitario]]*Tabla1[[#This Row],[Cantidad]]</f>
        <v>3000</v>
      </c>
      <c r="L18" s="145"/>
      <c r="M18" s="145"/>
      <c r="P18" s="144"/>
      <c r="Q18" s="144"/>
    </row>
    <row r="19" spans="2:17" x14ac:dyDescent="0.3">
      <c r="B19" s="145" t="s">
        <v>80</v>
      </c>
      <c r="C19" s="145" t="s">
        <v>81</v>
      </c>
      <c r="D19">
        <v>1</v>
      </c>
      <c r="E19" t="s">
        <v>58</v>
      </c>
      <c r="F19" s="144">
        <v>15000</v>
      </c>
      <c r="G19" s="144">
        <f>Tabla1[[#This Row],[Precio unitario]]*Tabla1[[#This Row],[Cantidad]]</f>
        <v>15000</v>
      </c>
      <c r="L19" s="145"/>
      <c r="M19" s="145"/>
      <c r="P19" s="144"/>
      <c r="Q19" s="144"/>
    </row>
    <row r="20" spans="2:17" x14ac:dyDescent="0.3">
      <c r="B20" s="145" t="s">
        <v>91</v>
      </c>
      <c r="C20" s="145" t="s">
        <v>98</v>
      </c>
      <c r="D20">
        <v>1</v>
      </c>
      <c r="E20" t="s">
        <v>58</v>
      </c>
      <c r="F20" s="144">
        <v>40000</v>
      </c>
      <c r="G20" s="144">
        <f>Tabla1[[#This Row],[Precio unitario]]*Tabla1[[#This Row],[Cantidad]]</f>
        <v>40000</v>
      </c>
      <c r="L20" s="145"/>
      <c r="M20" s="145"/>
      <c r="P20" s="144"/>
      <c r="Q20" s="144"/>
    </row>
    <row r="21" spans="2:17" x14ac:dyDescent="0.3">
      <c r="B21" s="145" t="s">
        <v>82</v>
      </c>
      <c r="C21" s="145" t="s">
        <v>83</v>
      </c>
      <c r="D21">
        <v>40</v>
      </c>
      <c r="E21" t="s">
        <v>58</v>
      </c>
      <c r="F21" s="144">
        <v>7000</v>
      </c>
      <c r="G21" s="144">
        <v>7000</v>
      </c>
      <c r="L21" s="145"/>
      <c r="M21" s="145"/>
      <c r="P21" s="144"/>
      <c r="Q21" s="144"/>
    </row>
    <row r="22" spans="2:17" x14ac:dyDescent="0.3">
      <c r="B22" s="145" t="s">
        <v>84</v>
      </c>
      <c r="C22" s="145"/>
      <c r="E22" t="s">
        <v>58</v>
      </c>
      <c r="F22" s="144"/>
      <c r="G22" s="144"/>
      <c r="L22" s="145"/>
      <c r="M22" s="145"/>
      <c r="P22" s="144"/>
      <c r="Q22" s="144"/>
    </row>
    <row r="23" spans="2:17" x14ac:dyDescent="0.3">
      <c r="B23" s="145" t="s">
        <v>85</v>
      </c>
      <c r="C23" s="145" t="s">
        <v>86</v>
      </c>
      <c r="E23" t="s">
        <v>58</v>
      </c>
      <c r="F23" s="144"/>
      <c r="G23" s="144"/>
      <c r="L23" s="145"/>
      <c r="M23" s="145"/>
      <c r="P23" s="144"/>
      <c r="Q23" s="144"/>
    </row>
    <row r="24" spans="2:17" x14ac:dyDescent="0.3">
      <c r="B24" t="s">
        <v>55</v>
      </c>
      <c r="F24" s="146" t="s">
        <v>87</v>
      </c>
      <c r="G24" s="144">
        <f>SUBTOTAL(109,Tabla1[Total])</f>
        <v>282900</v>
      </c>
      <c r="L24" s="145"/>
      <c r="M24" s="145"/>
      <c r="P24" s="144"/>
      <c r="Q24" s="144"/>
    </row>
    <row r="25" spans="2:17" x14ac:dyDescent="0.3">
      <c r="F25" s="147" t="s">
        <v>88</v>
      </c>
      <c r="G25" s="148">
        <f>Tabla1[[#Totals],[Total]]/1570</f>
        <v>180.19108280254778</v>
      </c>
      <c r="L25" s="145"/>
      <c r="M25" s="145"/>
      <c r="P25" s="144"/>
      <c r="Q25" s="144"/>
    </row>
    <row r="26" spans="2:17" x14ac:dyDescent="0.3">
      <c r="L26" s="145"/>
      <c r="M26" s="145"/>
      <c r="P26" s="144"/>
      <c r="Q26" s="144"/>
    </row>
    <row r="27" spans="2:17" x14ac:dyDescent="0.3">
      <c r="L27" s="145"/>
      <c r="M27" s="145"/>
      <c r="P27" s="144"/>
      <c r="Q27" s="144"/>
    </row>
    <row r="28" spans="2:17" x14ac:dyDescent="0.3">
      <c r="L28" s="145"/>
      <c r="M28" s="145"/>
      <c r="P28" s="144"/>
      <c r="Q28" s="144"/>
    </row>
    <row r="29" spans="2:17" x14ac:dyDescent="0.3">
      <c r="L29" s="145"/>
      <c r="M29" s="145"/>
      <c r="P29" s="144"/>
      <c r="Q29" s="144"/>
    </row>
    <row r="30" spans="2:17" x14ac:dyDescent="0.3">
      <c r="L30" s="145"/>
      <c r="M30" s="145"/>
      <c r="P30" s="144"/>
      <c r="Q30" s="144"/>
    </row>
    <row r="31" spans="2:17" x14ac:dyDescent="0.3">
      <c r="P31" s="146"/>
      <c r="Q31" s="144"/>
    </row>
    <row r="32" spans="2:17" x14ac:dyDescent="0.3">
      <c r="P32" s="147"/>
      <c r="Q32" s="148"/>
    </row>
  </sheetData>
  <mergeCells count="2">
    <mergeCell ref="B1:G1"/>
    <mergeCell ref="L10:Q10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2239A0-E68C-493F-BEE6-C77FEA397FD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97245281-08F3-4104-84BD-39F3D8CFB1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9426A3-87E9-4865-8A6C-3456B026A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Diagrama de Gantt</vt:lpstr>
      <vt:lpstr>Registro de horas</vt:lpstr>
      <vt:lpstr>Listado de Componentes</vt:lpstr>
      <vt:lpstr>'Diagrama de Gantt'!Display_Week</vt:lpstr>
      <vt:lpstr>'Diagrama de Gantt'!Project_Start</vt:lpstr>
      <vt:lpstr>'Diagrama de Gantt'!task_end</vt:lpstr>
      <vt:lpstr>'Diagrama de Gantt'!task_progress</vt:lpstr>
      <vt:lpstr>'Diagrama de Gantt'!task_start</vt:lpstr>
      <vt:lpstr>'Diagrama de Gantt'!Títulos_a_imprimir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Agustín Espínola</dc:creator>
  <cp:keywords/>
  <dc:description/>
  <cp:lastModifiedBy>Agustín Espínola</cp:lastModifiedBy>
  <cp:revision/>
  <dcterms:created xsi:type="dcterms:W3CDTF">2022-03-11T22:41:12Z</dcterms:created>
  <dcterms:modified xsi:type="dcterms:W3CDTF">2026-08-31T20:49:31Z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